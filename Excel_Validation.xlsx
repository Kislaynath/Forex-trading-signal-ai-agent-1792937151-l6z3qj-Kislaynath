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f5718ff587061/Desktop/Project 2/"/>
    </mc:Choice>
  </mc:AlternateContent>
  <xr:revisionPtr revIDLastSave="2" documentId="13_ncr:1_{984F1F09-0062-4EAF-A166-388DAAB112CD}" xr6:coauthVersionLast="47" xr6:coauthVersionMax="47" xr10:uidLastSave="{E6E03D39-DD26-402C-9121-28D74D1B55C1}"/>
  <bookViews>
    <workbookView xWindow="-108" yWindow="-108" windowWidth="23256" windowHeight="12456" firstSheet="2" activeTab="4" xr2:uid="{D0DA3B3D-A4F1-42E7-ABD3-3DC29B4D05EE}"/>
  </bookViews>
  <sheets>
    <sheet name="Bond Pricing" sheetId="1" r:id="rId1"/>
    <sheet name="Duration Convexity" sheetId="2" r:id="rId2"/>
    <sheet name="VaR Validation" sheetId="3" r:id="rId3"/>
    <sheet name="Nelson-Siegal Validation" sheetId="4" r:id="rId4"/>
    <sheet name="Portfolio Aggregation" sheetId="5" r:id="rId5"/>
    <sheet name="Pivot Table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2" i="4" a="1"/>
  <c r="I2" i="4" s="1"/>
  <c r="F3" i="4"/>
  <c r="F4" i="4"/>
  <c r="F5" i="4"/>
  <c r="F6" i="4"/>
  <c r="F7" i="4"/>
  <c r="F8" i="4"/>
  <c r="F9" i="4"/>
  <c r="F10" i="4"/>
  <c r="F11" i="4"/>
  <c r="F12" i="4"/>
  <c r="F2" i="4"/>
  <c r="E3" i="4"/>
  <c r="E4" i="4"/>
  <c r="E5" i="4"/>
  <c r="E6" i="4"/>
  <c r="E7" i="4"/>
  <c r="E8" i="4"/>
  <c r="E9" i="4"/>
  <c r="E10" i="4"/>
  <c r="E11" i="4"/>
  <c r="E12" i="4"/>
  <c r="E2" i="4"/>
  <c r="E11" i="3"/>
  <c r="E10" i="3"/>
  <c r="E9" i="3"/>
  <c r="E8" i="3"/>
  <c r="E7" i="3"/>
  <c r="E6" i="3"/>
  <c r="E5" i="3"/>
  <c r="E4" i="3"/>
  <c r="E3" i="3"/>
  <c r="E2" i="3"/>
  <c r="J2" i="2" a="1"/>
  <c r="J2" i="2" s="1"/>
  <c r="I2" i="2"/>
  <c r="H2" i="2"/>
  <c r="G2" i="2"/>
  <c r="I304" i="1" a="1"/>
  <c r="I304" i="1" s="1"/>
  <c r="I303" i="1"/>
  <c r="I301" i="1"/>
  <c r="I296" i="1"/>
  <c r="I297" i="1"/>
  <c r="I298" i="1"/>
  <c r="I299" i="1"/>
  <c r="I300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" i="1"/>
  <c r="G4" i="1"/>
  <c r="G5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<sst xmlns="http://schemas.openxmlformats.org/spreadsheetml/2006/main" count="675" uniqueCount="367">
  <si>
    <t>BondID</t>
  </si>
  <si>
    <t>Calculated Price</t>
  </si>
  <si>
    <t>Price Difference</t>
  </si>
  <si>
    <t>ZTFI-0001</t>
  </si>
  <si>
    <t>ZTFI-0002</t>
  </si>
  <si>
    <t>ZTFI-0003</t>
  </si>
  <si>
    <t>ZTFI-0004</t>
  </si>
  <si>
    <t>ZTFI-0005</t>
  </si>
  <si>
    <t>ZTFI-0006</t>
  </si>
  <si>
    <t>ZTFI-0007</t>
  </si>
  <si>
    <t>ZTFI-0008</t>
  </si>
  <si>
    <t>ZTFI-0009</t>
  </si>
  <si>
    <t>ZTFI-0010</t>
  </si>
  <si>
    <t>ZTFI-0011</t>
  </si>
  <si>
    <t>ZTFI-0012</t>
  </si>
  <si>
    <t>ZTFI-0013</t>
  </si>
  <si>
    <t>ZTFI-0014</t>
  </si>
  <si>
    <t>ZTFI-0015</t>
  </si>
  <si>
    <t>ZTFI-0016</t>
  </si>
  <si>
    <t>ZTFI-0017</t>
  </si>
  <si>
    <t>ZTFI-0018</t>
  </si>
  <si>
    <t>ZTFI-0019</t>
  </si>
  <si>
    <t>ZTFI-0020</t>
  </si>
  <si>
    <t>ZTFI-0021</t>
  </si>
  <si>
    <t>ZTFI-0022</t>
  </si>
  <si>
    <t>ZTFI-0023</t>
  </si>
  <si>
    <t>ZTFI-0024</t>
  </si>
  <si>
    <t>ZTFI-0025</t>
  </si>
  <si>
    <t>ZTFI-0026</t>
  </si>
  <si>
    <t>ZTFI-0027</t>
  </si>
  <si>
    <t>ZTFI-0028</t>
  </si>
  <si>
    <t>ZTFI-0029</t>
  </si>
  <si>
    <t>ZTFI-0030</t>
  </si>
  <si>
    <t>ZTFI-0031</t>
  </si>
  <si>
    <t>ZTFI-0032</t>
  </si>
  <si>
    <t>ZTFI-0033</t>
  </si>
  <si>
    <t>ZTFI-0034</t>
  </si>
  <si>
    <t>ZTFI-0035</t>
  </si>
  <si>
    <t>ZTFI-0036</t>
  </si>
  <si>
    <t>ZTFI-0037</t>
  </si>
  <si>
    <t>ZTFI-0038</t>
  </si>
  <si>
    <t>ZTFI-0039</t>
  </si>
  <si>
    <t>ZTFI-0040</t>
  </si>
  <si>
    <t>ZTFI-0041</t>
  </si>
  <si>
    <t>ZTFI-0042</t>
  </si>
  <si>
    <t>ZTFI-0043</t>
  </si>
  <si>
    <t>ZTFI-0044</t>
  </si>
  <si>
    <t>ZTFI-0045</t>
  </si>
  <si>
    <t>ZTFI-0046</t>
  </si>
  <si>
    <t>ZTFI-0047</t>
  </si>
  <si>
    <t>ZTFI-0048</t>
  </si>
  <si>
    <t>ZTFI-0049</t>
  </si>
  <si>
    <t>ZTFI-0050</t>
  </si>
  <si>
    <t>ZTFI-0051</t>
  </si>
  <si>
    <t>ZTFI-0052</t>
  </si>
  <si>
    <t>ZTFI-0053</t>
  </si>
  <si>
    <t>ZTFI-0054</t>
  </si>
  <si>
    <t>ZTFI-0055</t>
  </si>
  <si>
    <t>ZTFI-0056</t>
  </si>
  <si>
    <t>ZTFI-0057</t>
  </si>
  <si>
    <t>ZTFI-0058</t>
  </si>
  <si>
    <t>ZTFI-0059</t>
  </si>
  <si>
    <t>ZTFI-0060</t>
  </si>
  <si>
    <t>ZTFI-0061</t>
  </si>
  <si>
    <t>ZTFI-0062</t>
  </si>
  <si>
    <t>ZTFI-0063</t>
  </si>
  <si>
    <t>ZTFI-0064</t>
  </si>
  <si>
    <t>ZTFI-0065</t>
  </si>
  <si>
    <t>ZTFI-0066</t>
  </si>
  <si>
    <t>ZTFI-0067</t>
  </si>
  <si>
    <t>ZTFI-0068</t>
  </si>
  <si>
    <t>ZTFI-0069</t>
  </si>
  <si>
    <t>ZTFI-0070</t>
  </si>
  <si>
    <t>ZTFI-0071</t>
  </si>
  <si>
    <t>ZTFI-0072</t>
  </si>
  <si>
    <t>ZTFI-0073</t>
  </si>
  <si>
    <t>ZTFI-0074</t>
  </si>
  <si>
    <t>ZTFI-0075</t>
  </si>
  <si>
    <t>ZTFI-0076</t>
  </si>
  <si>
    <t>ZTFI-0077</t>
  </si>
  <si>
    <t>ZTFI-0078</t>
  </si>
  <si>
    <t>ZTFI-0079</t>
  </si>
  <si>
    <t>ZTFI-0080</t>
  </si>
  <si>
    <t>ZTFI-0081</t>
  </si>
  <si>
    <t>ZTFI-0082</t>
  </si>
  <si>
    <t>ZTFI-0083</t>
  </si>
  <si>
    <t>ZTFI-0084</t>
  </si>
  <si>
    <t>ZTFI-0085</t>
  </si>
  <si>
    <t>ZTFI-0086</t>
  </si>
  <si>
    <t>ZTFI-0087</t>
  </si>
  <si>
    <t>ZTFI-0088</t>
  </si>
  <si>
    <t>ZTFI-0089</t>
  </si>
  <si>
    <t>ZTFI-0090</t>
  </si>
  <si>
    <t>ZTFI-0091</t>
  </si>
  <si>
    <t>ZTFI-0092</t>
  </si>
  <si>
    <t>ZTFI-0093</t>
  </si>
  <si>
    <t>ZTFI-0094</t>
  </si>
  <si>
    <t>ZTFI-0095</t>
  </si>
  <si>
    <t>ZTFI-0096</t>
  </si>
  <si>
    <t>ZTFI-0097</t>
  </si>
  <si>
    <t>ZTFI-0098</t>
  </si>
  <si>
    <t>ZTFI-0099</t>
  </si>
  <si>
    <t>ZTFI-0100</t>
  </si>
  <si>
    <t>ZTFI-0101</t>
  </si>
  <si>
    <t>ZTFI-0102</t>
  </si>
  <si>
    <t>ZTFI-0103</t>
  </si>
  <si>
    <t>ZTFI-0104</t>
  </si>
  <si>
    <t>ZTFI-0105</t>
  </si>
  <si>
    <t>ZTFI-0106</t>
  </si>
  <si>
    <t>ZTFI-0107</t>
  </si>
  <si>
    <t>ZTFI-0108</t>
  </si>
  <si>
    <t>ZTFI-0109</t>
  </si>
  <si>
    <t>ZTFI-0110</t>
  </si>
  <si>
    <t>ZTFI-0111</t>
  </si>
  <si>
    <t>ZTFI-0112</t>
  </si>
  <si>
    <t>ZTFI-0113</t>
  </si>
  <si>
    <t>ZTFI-0114</t>
  </si>
  <si>
    <t>ZTFI-0115</t>
  </si>
  <si>
    <t>ZTFI-0116</t>
  </si>
  <si>
    <t>ZTFI-0117</t>
  </si>
  <si>
    <t>ZTFI-0118</t>
  </si>
  <si>
    <t>ZTFI-0119</t>
  </si>
  <si>
    <t>ZTFI-0120</t>
  </si>
  <si>
    <t>ZTFI-0121</t>
  </si>
  <si>
    <t>ZTFI-0122</t>
  </si>
  <si>
    <t>ZTFI-0123</t>
  </si>
  <si>
    <t>ZTFI-0124</t>
  </si>
  <si>
    <t>ZTFI-0125</t>
  </si>
  <si>
    <t>ZTFI-0126</t>
  </si>
  <si>
    <t>ZTFI-0127</t>
  </si>
  <si>
    <t>ZTFI-0128</t>
  </si>
  <si>
    <t>ZTFI-0129</t>
  </si>
  <si>
    <t>ZTFI-0130</t>
  </si>
  <si>
    <t>ZTFI-0131</t>
  </si>
  <si>
    <t>ZTFI-0132</t>
  </si>
  <si>
    <t>ZTFI-0133</t>
  </si>
  <si>
    <t>ZTFI-0134</t>
  </si>
  <si>
    <t>ZTFI-0135</t>
  </si>
  <si>
    <t>ZTFI-0136</t>
  </si>
  <si>
    <t>ZTFI-0137</t>
  </si>
  <si>
    <t>ZTFI-0138</t>
  </si>
  <si>
    <t>ZTFI-0139</t>
  </si>
  <si>
    <t>ZTFI-0140</t>
  </si>
  <si>
    <t>ZTFI-0141</t>
  </si>
  <si>
    <t>ZTFI-0142</t>
  </si>
  <si>
    <t>ZTFI-0143</t>
  </si>
  <si>
    <t>ZTFI-0144</t>
  </si>
  <si>
    <t>ZTFI-0145</t>
  </si>
  <si>
    <t>ZTFI-0146</t>
  </si>
  <si>
    <t>ZTFI-0147</t>
  </si>
  <si>
    <t>ZTFI-0148</t>
  </si>
  <si>
    <t>ZTFI-0149</t>
  </si>
  <si>
    <t>ZTFI-0150</t>
  </si>
  <si>
    <t>ZTFI-0151</t>
  </si>
  <si>
    <t>ZTFI-0152</t>
  </si>
  <si>
    <t>ZTFI-0153</t>
  </si>
  <si>
    <t>ZTFI-0154</t>
  </si>
  <si>
    <t>ZTFI-0155</t>
  </si>
  <si>
    <t>ZTFI-0156</t>
  </si>
  <si>
    <t>ZTFI-0157</t>
  </si>
  <si>
    <t>ZTFI-0158</t>
  </si>
  <si>
    <t>ZTFI-0159</t>
  </si>
  <si>
    <t>ZTFI-0160</t>
  </si>
  <si>
    <t>ZTFI-0161</t>
  </si>
  <si>
    <t>ZTFI-0162</t>
  </si>
  <si>
    <t>ZTFI-0163</t>
  </si>
  <si>
    <t>ZTFI-0164</t>
  </si>
  <si>
    <t>ZTFI-0165</t>
  </si>
  <si>
    <t>ZTFI-0166</t>
  </si>
  <si>
    <t>ZTFI-0167</t>
  </si>
  <si>
    <t>ZTFI-0168</t>
  </si>
  <si>
    <t>ZTFI-0169</t>
  </si>
  <si>
    <t>ZTFI-0170</t>
  </si>
  <si>
    <t>ZTFI-0171</t>
  </si>
  <si>
    <t>ZTFI-0172</t>
  </si>
  <si>
    <t>ZTFI-0173</t>
  </si>
  <si>
    <t>ZTFI-0174</t>
  </si>
  <si>
    <t>ZTFI-0175</t>
  </si>
  <si>
    <t>ZTFI-0176</t>
  </si>
  <si>
    <t>ZTFI-0177</t>
  </si>
  <si>
    <t>ZTFI-0178</t>
  </si>
  <si>
    <t>ZTFI-0179</t>
  </si>
  <si>
    <t>ZTFI-0180</t>
  </si>
  <si>
    <t>ZTFI-0181</t>
  </si>
  <si>
    <t>ZTFI-0182</t>
  </si>
  <si>
    <t>ZTFI-0183</t>
  </si>
  <si>
    <t>ZTFI-0184</t>
  </si>
  <si>
    <t>ZTFI-0185</t>
  </si>
  <si>
    <t>ZTFI-0186</t>
  </si>
  <si>
    <t>ZTFI-0187</t>
  </si>
  <si>
    <t>ZTFI-0188</t>
  </si>
  <si>
    <t>ZTFI-0189</t>
  </si>
  <si>
    <t>ZTFI-0190</t>
  </si>
  <si>
    <t>ZTFI-0191</t>
  </si>
  <si>
    <t>ZTFI-0192</t>
  </si>
  <si>
    <t>ZTFI-0193</t>
  </si>
  <si>
    <t>ZTFI-0194</t>
  </si>
  <si>
    <t>ZTFI-0195</t>
  </si>
  <si>
    <t>ZTFI-0196</t>
  </si>
  <si>
    <t>ZTFI-0197</t>
  </si>
  <si>
    <t>ZTFI-0198</t>
  </si>
  <si>
    <t>ZTFI-0199</t>
  </si>
  <si>
    <t>ZTFI-0200</t>
  </si>
  <si>
    <t>ZTFI-0201</t>
  </si>
  <si>
    <t>ZTFI-0202</t>
  </si>
  <si>
    <t>ZTFI-0203</t>
  </si>
  <si>
    <t>ZTFI-0204</t>
  </si>
  <si>
    <t>ZTFI-0205</t>
  </si>
  <si>
    <t>ZTFI-0206</t>
  </si>
  <si>
    <t>ZTFI-0207</t>
  </si>
  <si>
    <t>ZTFI-0208</t>
  </si>
  <si>
    <t>ZTFI-0209</t>
  </si>
  <si>
    <t>ZTFI-0210</t>
  </si>
  <si>
    <t>ZTFI-0211</t>
  </si>
  <si>
    <t>ZTFI-0212</t>
  </si>
  <si>
    <t>ZTFI-0213</t>
  </si>
  <si>
    <t>ZTFI-0214</t>
  </si>
  <si>
    <t>ZTFI-0215</t>
  </si>
  <si>
    <t>ZTFI-0216</t>
  </si>
  <si>
    <t>ZTFI-0217</t>
  </si>
  <si>
    <t>ZTFI-0218</t>
  </si>
  <si>
    <t>ZTFI-0219</t>
  </si>
  <si>
    <t>ZTFI-0220</t>
  </si>
  <si>
    <t>ZTFI-0221</t>
  </si>
  <si>
    <t>ZTFI-0222</t>
  </si>
  <si>
    <t>ZTFI-0223</t>
  </si>
  <si>
    <t>ZTFI-0224</t>
  </si>
  <si>
    <t>ZTFI-0225</t>
  </si>
  <si>
    <t>ZTFI-0226</t>
  </si>
  <si>
    <t>ZTFI-0227</t>
  </si>
  <si>
    <t>ZTFI-0228</t>
  </si>
  <si>
    <t>ZTFI-0229</t>
  </si>
  <si>
    <t>ZTFI-0230</t>
  </si>
  <si>
    <t>ZTFI-0231</t>
  </si>
  <si>
    <t>ZTFI-0232</t>
  </si>
  <si>
    <t>ZTFI-0233</t>
  </si>
  <si>
    <t>ZTFI-0234</t>
  </si>
  <si>
    <t>ZTFI-0235</t>
  </si>
  <si>
    <t>ZTFI-0236</t>
  </si>
  <si>
    <t>ZTFI-0237</t>
  </si>
  <si>
    <t>ZTFI-0238</t>
  </si>
  <si>
    <t>ZTFI-0239</t>
  </si>
  <si>
    <t>ZTFI-0240</t>
  </si>
  <si>
    <t>ZTFI-0241</t>
  </si>
  <si>
    <t>ZTFI-0242</t>
  </si>
  <si>
    <t>ZTFI-0243</t>
  </si>
  <si>
    <t>ZTFI-0244</t>
  </si>
  <si>
    <t>ZTFI-0245</t>
  </si>
  <si>
    <t>ZTFI-0246</t>
  </si>
  <si>
    <t>ZTFI-0247</t>
  </si>
  <si>
    <t>ZTFI-0248</t>
  </si>
  <si>
    <t>ZTFI-0249</t>
  </si>
  <si>
    <t>ZTFI-0250</t>
  </si>
  <si>
    <t>ZTFI-0251</t>
  </si>
  <si>
    <t>ZTFI-0252</t>
  </si>
  <si>
    <t>ZTFI-0253</t>
  </si>
  <si>
    <t>ZTFI-0254</t>
  </si>
  <si>
    <t>ZTFI-0255</t>
  </si>
  <si>
    <t>ZTFI-0256</t>
  </si>
  <si>
    <t>ZTFI-0257</t>
  </si>
  <si>
    <t>ZTFI-0258</t>
  </si>
  <si>
    <t>ZTFI-0259</t>
  </si>
  <si>
    <t>ZTFI-0260</t>
  </si>
  <si>
    <t>ZTFI-0261</t>
  </si>
  <si>
    <t>ZTFI-0262</t>
  </si>
  <si>
    <t>ZTFI-0263</t>
  </si>
  <si>
    <t>ZTFI-0264</t>
  </si>
  <si>
    <t>ZTFI-0265</t>
  </si>
  <si>
    <t>ZTFI-0266</t>
  </si>
  <si>
    <t>ZTFI-0267</t>
  </si>
  <si>
    <t>ZTFI-0268</t>
  </si>
  <si>
    <t>ZTFI-0269</t>
  </si>
  <si>
    <t>ZTFI-0270</t>
  </si>
  <si>
    <t>ZTFI-0271</t>
  </si>
  <si>
    <t>ZTFI-0272</t>
  </si>
  <si>
    <t>ZTFI-0273</t>
  </si>
  <si>
    <t>ZTFI-0274</t>
  </si>
  <si>
    <t>ZTFI-0275</t>
  </si>
  <si>
    <t>ZTFI-0276</t>
  </si>
  <si>
    <t>ZTFI-0277</t>
  </si>
  <si>
    <t>ZTFI-0278</t>
  </si>
  <si>
    <t>ZTFI-0279</t>
  </si>
  <si>
    <t>ZTFI-0280</t>
  </si>
  <si>
    <t>ZTFI-0281</t>
  </si>
  <si>
    <t>ZTFI-0282</t>
  </si>
  <si>
    <t>ZTFI-0283</t>
  </si>
  <si>
    <t>ZTFI-0284</t>
  </si>
  <si>
    <t>ZTFI-0285</t>
  </si>
  <si>
    <t>ZTFI-0286</t>
  </si>
  <si>
    <t>ZTFI-0287</t>
  </si>
  <si>
    <t>ZTFI-0288</t>
  </si>
  <si>
    <t>ZTFI-0289</t>
  </si>
  <si>
    <t>ZTFI-0290</t>
  </si>
  <si>
    <t>ZTFI-0291</t>
  </si>
  <si>
    <t>ZTFI-0292</t>
  </si>
  <si>
    <t>ZTFI-0293</t>
  </si>
  <si>
    <t>ZTFI-0294</t>
  </si>
  <si>
    <t>ZTFI-0295</t>
  </si>
  <si>
    <t>ZTFI-0296</t>
  </si>
  <si>
    <t>ZTFI-0297</t>
  </si>
  <si>
    <t>ZTFI-0298</t>
  </si>
  <si>
    <t>ZTFI-0299</t>
  </si>
  <si>
    <t>ZTFI-0300</t>
  </si>
  <si>
    <t>FaceValue</t>
  </si>
  <si>
    <t>CouponRate</t>
  </si>
  <si>
    <t>YieldToMaturity</t>
  </si>
  <si>
    <t>YearsToMaturity</t>
  </si>
  <si>
    <t>MarketValue_INR</t>
  </si>
  <si>
    <t>Market Price</t>
  </si>
  <si>
    <t>Average Price Difference</t>
  </si>
  <si>
    <t>Maximum Absolute Price Difference</t>
  </si>
  <si>
    <t>ModifiedDuration</t>
  </si>
  <si>
    <t>Convexity</t>
  </si>
  <si>
    <t>DV01_Per100Face</t>
  </si>
  <si>
    <t>Total Market Value</t>
  </si>
  <si>
    <t>Portfolio Duration</t>
  </si>
  <si>
    <t>Portfolio Convexity</t>
  </si>
  <si>
    <t>Total DV01</t>
  </si>
  <si>
    <t>Quantity</t>
  </si>
  <si>
    <t>PnL_Total_INR</t>
  </si>
  <si>
    <t>Metric</t>
  </si>
  <si>
    <t>Value</t>
  </si>
  <si>
    <t>MeanP&amp;L</t>
  </si>
  <si>
    <t>P&amp;L Std Dev</t>
  </si>
  <si>
    <t>Monte Carlo VaR 95%</t>
  </si>
  <si>
    <t>Monte Carlo VaR 99%</t>
  </si>
  <si>
    <t>Monte Carlo CVaR 95%</t>
  </si>
  <si>
    <t>Monte Carlo CVaR 99%</t>
  </si>
  <si>
    <t>Parametric Var 95%</t>
  </si>
  <si>
    <t>Parametric Var 99%</t>
  </si>
  <si>
    <t>VaR 95% Difference%</t>
  </si>
  <si>
    <t>VaR 99% Difference%</t>
  </si>
  <si>
    <t>TenorLabel</t>
  </si>
  <si>
    <t>3M</t>
  </si>
  <si>
    <t>6M</t>
  </si>
  <si>
    <t>1Y</t>
  </si>
  <si>
    <t>2Y</t>
  </si>
  <si>
    <t>3Y</t>
  </si>
  <si>
    <t>5Y</t>
  </si>
  <si>
    <t>7Y</t>
  </si>
  <si>
    <t>10Y</t>
  </si>
  <si>
    <t>15Y</t>
  </si>
  <si>
    <t>20Y</t>
  </si>
  <si>
    <t>30Y</t>
  </si>
  <si>
    <t>Tenor_Years</t>
  </si>
  <si>
    <t>Yield</t>
  </si>
  <si>
    <t>NS_FittedYield</t>
  </si>
  <si>
    <t>Difference</t>
  </si>
  <si>
    <t>Absolute Error</t>
  </si>
  <si>
    <t>RMSE</t>
  </si>
  <si>
    <t>R2</t>
  </si>
  <si>
    <t>Chart</t>
  </si>
  <si>
    <t>Portfolio Metrics</t>
  </si>
  <si>
    <t>Portfolio Modified Duration</t>
  </si>
  <si>
    <t>Total Portfolio Weight</t>
  </si>
  <si>
    <t>Bond Count</t>
  </si>
  <si>
    <t>Row Labels</t>
  </si>
  <si>
    <t>Grand Total</t>
  </si>
  <si>
    <t>Sum of MarketValue_INR</t>
  </si>
  <si>
    <t>0.5175-5.5175</t>
  </si>
  <si>
    <t>5.5175-10.5175</t>
  </si>
  <si>
    <t>10.5175-15.5175</t>
  </si>
  <si>
    <t>15.5175-20.5175</t>
  </si>
  <si>
    <t>20.5175-25.5175</t>
  </si>
  <si>
    <t>25.5175-30.5175</t>
  </si>
  <si>
    <t>30.5175-35.5175</t>
  </si>
  <si>
    <t>35.5175-40.5175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</si>
</sst>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/>
              <a:t>Actual</a:t>
            </a:r>
            <a:r>
              <a:rPr lang="en-IN" sz="1600" b="1" i="1" baseline="0"/>
              <a:t> vs Nelson-Siegel Fitted 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'Nelson-Siegal Validation'!$C$1</c:f>
              <c:strCache>
                <c:ptCount val="1"/>
                <c:pt idx="0">
                  <c:v>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'Nelson-Siegal Validation'!$A$2:$A$12</c:f>
              <c:strCache>
                <c:ptCount val="11"/>
                <c:pt idx="0">
                  <c:v>3M</c:v>
                </c:pt>
                <c:pt idx="1">
                  <c:v>6M</c:v>
                </c:pt>
                <c:pt idx="2">
                  <c:v>1Y</c:v>
                </c:pt>
                <c:pt idx="3">
                  <c:v>2Y</c:v>
                </c:pt>
                <c:pt idx="4">
                  <c:v>3Y</c:v>
                </c:pt>
                <c:pt idx="5">
                  <c:v>5Y</c:v>
                </c:pt>
                <c:pt idx="6">
                  <c:v>7Y</c:v>
                </c:pt>
                <c:pt idx="7">
                  <c:v>10Y</c:v>
                </c:pt>
                <c:pt idx="8">
                  <c:v>15Y</c:v>
                </c:pt>
                <c:pt idx="9">
                  <c:v>20Y</c:v>
                </c:pt>
                <c:pt idx="10">
                  <c:v>30Y</c:v>
                </c:pt>
              </c:strCache>
            </c:strRef>
          </c:cat>
          <c:val>
            <c:numRef>
              <c:f>'Nelson-Siegal Validation'!$C$2:$C$12</c:f>
              <c:numCache>
                <c:formatCode>General</c:formatCode>
                <c:ptCount val="11"/>
                <c:pt idx="0">
                  <c:v>6.8724999999999994E-2</c:v>
                </c:pt>
                <c:pt idx="1">
                  <c:v>7.0997000000000005E-2</c:v>
                </c:pt>
                <c:pt idx="2">
                  <c:v>7.0232000000000003E-2</c:v>
                </c:pt>
                <c:pt idx="3">
                  <c:v>7.0440000000000003E-2</c:v>
                </c:pt>
                <c:pt idx="4">
                  <c:v>7.1348999999999996E-2</c:v>
                </c:pt>
                <c:pt idx="5">
                  <c:v>7.4343999999999993E-2</c:v>
                </c:pt>
                <c:pt idx="6">
                  <c:v>7.4371000000000007E-2</c:v>
                </c:pt>
                <c:pt idx="7">
                  <c:v>7.7302999999999997E-2</c:v>
                </c:pt>
                <c:pt idx="8">
                  <c:v>7.8297000000000005E-2</c:v>
                </c:pt>
                <c:pt idx="9">
                  <c:v>7.9555000000000001E-2</c:v>
                </c:pt>
                <c:pt idx="10">
                  <c:v>7.7818999999999999E-2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4-43A1-841D-4F173329A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059984"/>
        <c:axId val="856588816"/>
      </c:lineChart>
      <c:catAx>
        <c:axId val="9770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88816"/>
        <c:crosses val="autoZero"/>
        <c:auto val="1"/>
        <c:lblAlgn val="ctr"/>
        <c:lblOffset val="100"/>
        <c:noMultiLvlLbl val="0"/>
      </c:catAx>
      <c:valAx>
        <c:axId val="8565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5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[Excel_Validation.xlsx]Pivot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1"/>
              <a:t>Market</a:t>
            </a:r>
            <a:r>
              <a:rPr lang="en-IN" sz="1800" b="1" i="1" baseline="0"/>
              <a:t> Value by Maturity Bucket</a:t>
            </a:r>
            <a:endParaRPr lang="en-IN" sz="1800" b="1" i="1"/>
          </a:p>
        </c:rich>
      </c:tx>
      <c:layout>
        <c:manualLayout>
          <c:xMode val="edge"/>
          <c:yMode val="edge"/>
          <c:x val="0.173847112860892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Table'!$A$4:$A$12</c:f>
              <c:strCache>
                <c:ptCount val="8"/>
                <c:pt idx="0">
                  <c:v>0.5175-5.5175</c:v>
                </c:pt>
                <c:pt idx="1">
                  <c:v>5.5175-10.5175</c:v>
                </c:pt>
                <c:pt idx="2">
                  <c:v>10.5175-15.5175</c:v>
                </c:pt>
                <c:pt idx="3">
                  <c:v>15.5175-20.5175</c:v>
                </c:pt>
                <c:pt idx="4">
                  <c:v>20.5175-25.5175</c:v>
                </c:pt>
                <c:pt idx="5">
                  <c:v>25.5175-30.5175</c:v>
                </c:pt>
                <c:pt idx="6">
                  <c:v>30.5175-35.5175</c:v>
                </c:pt>
                <c:pt idx="7">
                  <c:v>35.5175-40.5175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21259033.489999998</c:v>
                </c:pt>
                <c:pt idx="1">
                  <c:v>4526911.05</c:v>
                </c:pt>
                <c:pt idx="2">
                  <c:v>2348389.4700000002</c:v>
                </c:pt>
                <c:pt idx="3">
                  <c:v>2127364.33</c:v>
                </c:pt>
                <c:pt idx="4">
                  <c:v>917198.05</c:v>
                </c:pt>
                <c:pt idx="5">
                  <c:v>607778.03999999992</c:v>
                </c:pt>
                <c:pt idx="6">
                  <c:v>97456.739999999991</c:v>
                </c:pt>
                <c:pt idx="7">
                  <c:v>175214.8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2-4CDD-A4F1-80F3A661D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172640"/>
        <c:axId val="856486576"/>
      </c:barChart>
      <c:catAx>
        <c:axId val="17961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86576"/>
        <c:crosses val="autoZero"/>
        <c:auto val="1"/>
        <c:lblAlgn val="ctr"/>
        <c:lblOffset val="100"/>
        <c:noMultiLvlLbl val="0"/>
      </c:catAx>
      <c:valAx>
        <c:axId val="8564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4</xdr:row>
      <xdr:rowOff>26670</xdr:rowOff>
    </xdr:from>
    <xdr:to>
      <xdr:col>13</xdr:col>
      <xdr:colOff>373380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00B438-326A-A15F-1049-CCD4ED9B6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1</xdr:row>
      <xdr:rowOff>163830</xdr:rowOff>
    </xdr:from>
    <xdr:to>
      <xdr:col>10</xdr:col>
      <xdr:colOff>137160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596E7-7017-99EC-17B3-4C153FF38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lay nath" refreshedDate="46296.184465393519" createdVersion="8" refreshedVersion="8" minRefreshableVersion="3" recordCount="304" xr:uid="{363D9404-C5B9-4ED9-90F1-6E0C13AEC1EB}">
  <cacheSource type="worksheet">
    <worksheetSource ref="A1:I1048576" sheet="Bond Pricing"/>
  </cacheSource>
  <cacheFields count="9">
    <cacheField name="BondID" numFmtId="0">
      <sharedItems containsBlank="1"/>
    </cacheField>
    <cacheField name="FaceValue" numFmtId="0">
      <sharedItems containsString="0" containsBlank="1" containsNumber="1" containsInteger="1" minValue="100" maxValue="100"/>
    </cacheField>
    <cacheField name="CouponRate" numFmtId="0">
      <sharedItems containsString="0" containsBlank="1" containsNumber="1" minValue="2.3E-3" maxValue="0.11509999999999999"/>
    </cacheField>
    <cacheField name="YieldToMaturity" numFmtId="0">
      <sharedItems containsString="0" containsBlank="1" containsNumber="1" minValue="7.9000000000000008E-3" maxValue="0.11899999999999999"/>
    </cacheField>
    <cacheField name="YearsToMaturity" numFmtId="0">
      <sharedItems containsString="0" containsBlank="1" containsNumber="1" minValue="0.51749999999999996" maxValue="38.8994" count="292">
        <n v="2.3134999999999999"/>
        <n v="21.004799999999999"/>
        <n v="5.2675999999999998"/>
        <n v="24.9117"/>
        <n v="18.406600000000001"/>
        <n v="1.9658"/>
        <n v="24.596900000000002"/>
        <n v="5.5632999999999999"/>
        <n v="24.380600000000001"/>
        <n v="22.182099999999998"/>
        <n v="29.125299999999999"/>
        <n v="5.7576999999999998"/>
        <n v="28.383299999999998"/>
        <n v="34.592700000000001"/>
        <n v="38.8994"/>
        <n v="23.041799999999999"/>
        <n v="32.139600000000002"/>
        <n v="16.465399999999999"/>
        <n v="30.4695"/>
        <n v="1.9219999999999999"/>
        <n v="12.2601"/>
        <n v="33.177300000000002"/>
        <n v="13.4565"/>
        <n v="14.6037"/>
        <n v="6.7405999999999997"/>
        <n v="0.60780000000000001"/>
        <n v="20.6051"/>
        <n v="16.090299999999999"/>
        <n v="21.8398"/>
        <n v="21.445599999999999"/>
        <n v="27.846699999999998"/>
        <n v="1.2375"/>
        <n v="2.2778999999999998"/>
        <n v="26.1355"/>
        <n v="9.5632999999999999"/>
        <n v="18.852799999999998"/>
        <n v="25.9849"/>
        <n v="14.045199999999999"/>
        <n v="8.8679000000000006"/>
        <n v="3.488"/>
        <n v="4.2519"/>
        <n v="35.389499999999998"/>
        <n v="1.4155"/>
        <n v="17.8371"/>
        <n v="18.436699999999998"/>
        <n v="13.949299999999999"/>
        <n v="13.1389"/>
        <n v="5.5140000000000002"/>
        <n v="22.557200000000002"/>
        <n v="8.8871000000000002"/>
        <n v="1.3798999999999999"/>
        <n v="12.405200000000001"/>
        <n v="3.3264999999999998"/>
        <n v="10.8309"/>
        <n v="5.8371000000000004"/>
        <n v="6.2668999999999997"/>
        <n v="24.936299999999999"/>
        <n v="31.175899999999999"/>
        <n v="6.1054000000000004"/>
        <n v="14.768000000000001"/>
        <n v="23.044499999999999"/>
        <n v="2.4175"/>
        <n v="2.2368000000000001"/>
        <n v="22.179300000000001"/>
        <n v="9.8370999999999995"/>
        <n v="9.4948999999999995"/>
        <n v="12.722799999999999"/>
        <n v="28.23"/>
        <n v="7.1348000000000003"/>
        <n v="10.231299999999999"/>
        <n v="5.7358000000000002"/>
        <n v="8.4326000000000008"/>
        <n v="31.616700000000002"/>
        <n v="13.87"/>
        <n v="2.8965999999999998"/>
        <n v="8.9473000000000003"/>
        <n v="2.1520000000000001"/>
        <n v="7.4935"/>
        <n v="28.8597"/>
        <n v="1.7741"/>
        <n v="10.0534"/>
        <n v="3.5181"/>
        <n v="1.6345000000000001"/>
        <n v="1.6700999999999999"/>
        <n v="5.4592999999999998"/>
        <n v="4.1287000000000003"/>
        <n v="5.0568"/>
        <n v="6.5625999999999998"/>
        <n v="3.4058999999999999"/>
        <n v="2.5160999999999998"/>
        <n v="3.6057000000000001"/>
        <n v="9.1828000000000003"/>
        <n v="4.9992999999999999"/>
        <n v="7.7098000000000004"/>
        <n v="12.547599999999999"/>
        <n v="3.0034000000000001"/>
        <n v="3.77"/>
        <n v="3.6002999999999998"/>
        <n v="0.67349999999999999"/>
        <n v="1.2457"/>
        <n v="2.3984000000000001"/>
        <n v="3.6276999999999999"/>
        <n v="2.4093"/>
        <n v="5.5989000000000004"/>
        <n v="2.4037999999999999"/>
        <n v="5.9356999999999998"/>
        <n v="3.2361"/>
        <n v="1.1636"/>
        <n v="7.7836999999999996"/>
        <n v="0.70089999999999997"/>
        <n v="1.9849000000000001"/>
        <n v="3.3128000000000002"/>
        <n v="4.4709000000000003"/>
        <n v="3.6604999999999999"/>
        <n v="2.3765000000000001"/>
        <n v="0.94179999999999997"/>
        <n v="4.3586999999999998"/>
        <n v="5.5660999999999996"/>
        <n v="1.3607"/>
        <n v="3.6084999999999998"/>
        <n v="5.7823000000000002"/>
        <n v="7.5427999999999997"/>
        <n v="4.6489000000000003"/>
        <n v="3.5099"/>
        <n v="0.97740000000000005"/>
        <n v="8.3696000000000002"/>
        <n v="6.9432"/>
        <n v="2.9843000000000002"/>
        <n v="0.99929999999999997"/>
        <n v="0.71730000000000005"/>
        <n v="1.2813000000000001"/>
        <n v="1.3169"/>
        <n v="3.3921999999999999"/>
        <n v="2.5981999999999998"/>
        <n v="7.8768000000000002"/>
        <n v="3.8412000000000002"/>
        <n v="2.4559000000000002"/>
        <n v="2.4148000000000001"/>
        <n v="0.79120000000000001"/>
        <n v="7.8137999999999996"/>
        <n v="1.1554"/>
        <n v="0.63519999999999999"/>
        <n v="2.3491"/>
        <n v="3.3073000000000001"/>
        <n v="3.3046000000000002"/>
        <n v="2.36"/>
        <n v="1.7276"/>
        <n v="6.0808"/>
        <n v="2.4969000000000001"/>
        <n v="2.3517999999999999"/>
        <n v="1.2430000000000001"/>
        <n v="1.5085999999999999"/>
        <n v="1.2129000000000001"/>
        <n v="1.4783999999999999"/>
        <n v="3.1402999999999999"/>
        <n v="2.9624000000000001"/>
        <n v="0.66800000000000004"/>
        <n v="0.51749999999999996"/>
        <n v="2.5325000000000002"/>
        <n v="0.7228"/>
        <n v="1.5962000000000001"/>
        <n v="1.7604"/>
        <n v="1.2621"/>
        <n v="4.2683"/>
        <n v="3.8904999999999998"/>
        <n v="6.1628999999999996"/>
        <n v="2.3298999999999999"/>
        <n v="1.3880999999999999"/>
        <n v="3.1183999999999998"/>
        <n v="2.9952000000000001"/>
        <n v="2.5270000000000001"/>
        <n v="2.6063999999999998"/>
        <n v="1.1910000000000001"/>
        <n v="2.4942000000000002"/>
        <n v="1.4976"/>
        <n v="3.8685999999999998"/>
        <n v="0.8679"/>
        <n v="2.5680999999999998"/>
        <n v="0.98560000000000003"/>
        <n v="3.5154000000000001"/>
        <n v="5.1471999999999998"/>
        <n v="3.4908000000000001"/>
        <n v="1.7906"/>
        <n v="2.2395999999999998"/>
        <n v="2.2724000000000002"/>
        <n v="1.3716999999999999"/>
        <n v="2.5571999999999999"/>
        <n v="2.0779999999999998"/>
        <n v="2.089"/>
        <n v="0.59689999999999999"/>
        <n v="4.1561000000000003"/>
        <n v="2.1080999999999999"/>
        <n v="0.54479999999999995"/>
        <n v="0.75019999999999998"/>
        <n v="0.67620000000000002"/>
        <n v="1.0678000000000001"/>
        <n v="2.2915999999999999"/>
        <n v="2.0972"/>
        <n v="1.4757"/>
        <n v="3.5482999999999998"/>
        <n v="1.911"/>
        <n v="1.7083999999999999"/>
        <n v="1.1745000000000001"/>
        <n v="3.4251"/>
        <n v="1.4237"/>
        <n v="2.9733000000000001"/>
        <n v="1.1963999999999999"/>
        <n v="1.2484999999999999"/>
        <n v="1.0787"/>
        <n v="0.65980000000000005"/>
        <n v="1.7686999999999999"/>
        <n v="2.3900999999999999"/>
        <n v="0.9829"/>
        <n v="5.5523999999999996"/>
        <n v="10.9049"/>
        <n v="6.1026999999999996"/>
        <n v="8.4846000000000004"/>
        <n v="2.0533999999999999"/>
        <n v="11.3292"/>
        <n v="2.4203000000000001"/>
        <n v="16.7255"/>
        <n v="4.1424000000000003"/>
        <n v="2.7105000000000001"/>
        <n v="18.975999999999999"/>
        <n v="8.2245000000000008"/>
        <n v="6.0232999999999999"/>
        <n v="2.4394"/>
        <n v="0.79949999999999999"/>
        <n v="9.0075000000000003"/>
        <n v="15.3484"/>
        <n v="17.128"/>
        <n v="4.8433000000000002"/>
        <n v="20.090299999999999"/>
        <n v="3.9699"/>
        <n v="5.2100999999999997"/>
        <n v="12.0794"/>
        <n v="13.6235"/>
        <n v="1.3744000000000001"/>
        <n v="6.4038000000000004"/>
        <n v="2.1766000000000001"/>
        <n v="13.7522"/>
        <n v="8.7364999999999995"/>
        <n v="7.1896000000000004"/>
        <n v="5.6783000000000001"/>
        <n v="17.133500000000002"/>
        <n v="12.564"/>
        <n v="4.1889000000000003"/>
        <n v="3.4359999999999999"/>
        <n v="1.4428000000000001"/>
        <n v="8.8377999999999997"/>
        <n v="7.2361000000000004"/>
        <n v="5.9329000000000001"/>
        <n v="0.8296"/>
        <n v="10.0862"/>
        <n v="0.99660000000000004"/>
        <n v="1.4346000000000001"/>
        <n v="24.914400000000001"/>
        <n v="1.5825"/>
        <n v="17.245699999999999"/>
        <n v="3.5701999999999998"/>
        <n v="2.5188000000000001"/>
        <n v="11.885"/>
        <n v="12.7036"/>
        <n v="2.6995"/>
        <n v="8.5831999999999997"/>
        <n v="11.830299999999999"/>
        <n v="14.8528"/>
        <n v="15.885"/>
        <n v="13.070499999999999"/>
        <n v="7.2827000000000002"/>
        <n v="19.479800000000001"/>
        <n v="27.373000000000001"/>
        <n v="12.271000000000001"/>
        <n v="5.9138000000000002"/>
        <n v="24.878900000000002"/>
        <n v="6.4010999999999996"/>
        <n v="14.1793"/>
        <n v="0.9637"/>
        <n v="7.4715999999999996"/>
        <n v="1.2566999999999999"/>
        <n v="3.3511000000000002"/>
        <n v="19.507200000000001"/>
        <n v="2.7077"/>
        <n v="4.5585000000000004"/>
        <n v="2.2450000000000001"/>
        <n v="0.90080000000000005"/>
        <n v="0.6653"/>
        <n v="12.169700000000001"/>
        <n v="4.6242000000000001"/>
        <n v="1.3963000000000001"/>
        <n v="2.6776"/>
        <m/>
      </sharedItems>
      <fieldGroup base="4">
        <rangePr startNum="0.51749999999999996" endNum="38.8994" groupInterval="5"/>
        <groupItems count="10">
          <s v="(blank)"/>
          <s v="0.5175-5.5175"/>
          <s v="5.5175-10.5175"/>
          <s v="10.5175-15.5175"/>
          <s v="15.5175-20.5175"/>
          <s v="20.5175-25.5175"/>
          <s v="25.5175-30.5175"/>
          <s v="30.5175-35.5175"/>
          <s v="35.5175-40.5175"/>
          <s v="&gt;40.5175"/>
        </groupItems>
      </fieldGroup>
    </cacheField>
    <cacheField name="MarketValue_INR" numFmtId="0">
      <sharedItems containsString="0" containsBlank="1" containsNumber="1" minValue="27.07" maxValue="523964.38"/>
    </cacheField>
    <cacheField name="Calculated Price" numFmtId="0">
      <sharedItems containsString="0" containsBlank="1" containsNumber="1" minValue="69.760291587315749" maxValue="109.06716934099518"/>
    </cacheField>
    <cacheField name="Market Price" numFmtId="0">
      <sharedItems containsBlank="1" containsMixedTypes="1" containsNumber="1" minValue="70.191900000000004" maxValue="110.3014"/>
    </cacheField>
    <cacheField name="Price Difference" numFmtId="0">
      <sharedItems containsString="0" containsBlank="1" containsNumber="1" minValue="-0.46188190923142258" maxValue="2.62280943475452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s v="ZTFI-0001"/>
    <n v="100"/>
    <n v="6.2E-2"/>
    <n v="6.7400000000000002E-2"/>
    <x v="0"/>
    <n v="99005.2"/>
    <n v="98.877808003647715"/>
    <n v="99.313400000000001"/>
    <n v="0.43559199635228651"/>
  </r>
  <r>
    <s v="ZTFI-0002"/>
    <n v="100"/>
    <n v="7.7299999999999994E-2"/>
    <n v="6.9000000000000006E-2"/>
    <x v="1"/>
    <n v="21826.94"/>
    <n v="109.06716934099518"/>
    <n v="110.3014"/>
    <n v="1.2342306590048224"/>
  </r>
  <r>
    <s v="ZTFI-0003"/>
    <n v="100"/>
    <n v="5.5500000000000001E-2"/>
    <n v="6.7400000000000002E-2"/>
    <x v="2"/>
    <n v="19003.8"/>
    <n v="94.866127576820546"/>
    <n v="96.205799999999996"/>
    <n v="1.3396724231794508"/>
  </r>
  <r>
    <s v="ZTFI-0004"/>
    <n v="100"/>
    <n v="6.8099999999999994E-2"/>
    <n v="6.6699999999999995E-2"/>
    <x v="3"/>
    <n v="50839.15"/>
    <n v="101.67878447351978"/>
    <n v="103.2538"/>
    <n v="1.5750155264802146"/>
  </r>
  <r>
    <s v="ZTFI-0005"/>
    <n v="100"/>
    <n v="7.4999999999999997E-2"/>
    <n v="7.0199999999999999E-2"/>
    <x v="4"/>
    <n v="209725.4"/>
    <n v="104.87625892107766"/>
    <n v="105.35939999999999"/>
    <n v="0.48314107892232983"/>
  </r>
  <r>
    <s v="ZTFI-0006"/>
    <n v="100"/>
    <n v="6.4500000000000002E-2"/>
    <n v="7.3999999999999996E-2"/>
    <x v="5"/>
    <n v="9867.43"/>
    <n v="98.319065470130411"/>
    <n v="99.951499999999996"/>
    <n v="1.6324345298695846"/>
  </r>
  <r>
    <s v="ZTFI-0007"/>
    <n v="100"/>
    <n v="6.9400000000000003E-2"/>
    <n v="7.3099999999999998E-2"/>
    <x v="6"/>
    <n v="19162.02"/>
    <n v="95.830986348475406"/>
    <n v="96.564400000000006"/>
    <n v="0.73341365152460014"/>
  </r>
  <r>
    <s v="ZTFI-0008"/>
    <n v="100"/>
    <n v="6.0699999999999997E-2"/>
    <n v="7.3200000000000001E-2"/>
    <x v="7"/>
    <n v="94422.9"/>
    <n v="94.450415008316526"/>
    <n v="95.331800000000001"/>
    <n v="0.8813849916834755"/>
  </r>
  <r>
    <s v="ZTFI-0009"/>
    <n v="100"/>
    <n v="7.3300000000000004E-2"/>
    <n v="6.6299999999999998E-2"/>
    <x v="8"/>
    <n v="54175.7"/>
    <n v="108.3507367303677"/>
    <n v="108.654"/>
    <n v="0.30326326963229633"/>
  </r>
  <r>
    <s v="ZTFI-0010"/>
    <n v="100"/>
    <n v="5.6399999999999999E-2"/>
    <n v="7.0800000000000002E-2"/>
    <x v="9"/>
    <n v="84062.2"/>
    <n v="84.121022161472609"/>
    <n v="84.162300000000002"/>
    <n v="4.1277838527392419E-2"/>
  </r>
  <r>
    <s v="ZTFI-0011"/>
    <n v="100"/>
    <n v="5.3800000000000001E-2"/>
    <n v="6.7599999999999993E-2"/>
    <x v="10"/>
    <n v="41277.4"/>
    <n v="82.623355625265177"/>
    <n v="82.810900000000004"/>
    <n v="0.1875443747348271"/>
  </r>
  <r>
    <s v="ZTFI-0012"/>
    <n v="100"/>
    <n v="7.2800000000000004E-2"/>
    <n v="6.7000000000000004E-2"/>
    <x v="11"/>
    <n v="51316"/>
    <n v="102.69747591341867"/>
    <n v="102.9659"/>
    <n v="0.26842408658133365"/>
  </r>
  <r>
    <s v="ZTFI-0013"/>
    <n v="100"/>
    <n v="6.1600000000000002E-2"/>
    <n v="6.9199999999999998E-2"/>
    <x v="12"/>
    <n v="4532.6000000000004"/>
    <n v="90.661404586851631"/>
    <n v="90.6554"/>
    <n v="-6.0045868516311884E-3"/>
  </r>
  <r>
    <s v="ZTFI-0014"/>
    <n v="100"/>
    <n v="6.6500000000000004E-2"/>
    <n v="6.83E-2"/>
    <x v="13"/>
    <n v="4881.22"/>
    <n v="97.632654961466557"/>
    <n v="98.460300000000004"/>
    <n v="0.82764503853344706"/>
  </r>
  <r>
    <s v="ZTFI-0015"/>
    <n v="100"/>
    <n v="5.7000000000000002E-2"/>
    <n v="6.59E-2"/>
    <x v="14"/>
    <n v="175214.8"/>
    <n v="87.622797345896473"/>
    <n v="88.352400000000003"/>
    <n v="0.72960265410353031"/>
  </r>
  <r>
    <s v="ZTFI-0016"/>
    <n v="100"/>
    <n v="6.3100000000000003E-2"/>
    <n v="6.5799999999999997E-2"/>
    <x v="15"/>
    <n v="9682.23"/>
    <n v="96.841673401487753"/>
    <n v="97.031300000000002"/>
    <n v="0.18962659851224828"/>
  </r>
  <r>
    <s v="ZTFI-0017"/>
    <n v="100"/>
    <n v="6.9000000000000006E-2"/>
    <n v="7.1999999999999995E-2"/>
    <x v="16"/>
    <n v="9626.66"/>
    <n v="96.279339059787532"/>
    <n v="97.801400000000001"/>
    <n v="1.5220609402124694"/>
  </r>
  <r>
    <s v="ZTFI-0018"/>
    <n v="100"/>
    <n v="5.2600000000000001E-2"/>
    <n v="6.5500000000000003E-2"/>
    <x v="17"/>
    <n v="17465.599999999999"/>
    <n v="87.234330853958994"/>
    <n v="88.165800000000004"/>
    <n v="0.93146914604101028"/>
  </r>
  <r>
    <s v="ZTFI-0019"/>
    <n v="100"/>
    <n v="7.3800000000000004E-2"/>
    <n v="6.9500000000000006E-2"/>
    <x v="18"/>
    <n v="5269.51"/>
    <n v="105.3883946453557"/>
    <n v="107.0488"/>
    <n v="1.6604053546442969"/>
  </r>
  <r>
    <s v="ZTFI-0020"/>
    <n v="100"/>
    <n v="7.7799999999999994E-2"/>
    <n v="6.5299999999999997E-2"/>
    <x v="19"/>
    <n v="203517.8"/>
    <n v="102.19140148664833"/>
    <n v="103.28060000000001"/>
    <n v="1.0891985133516755"/>
  </r>
  <r>
    <s v="ZTFI-0021"/>
    <n v="100"/>
    <n v="0.06"/>
    <n v="7.1900000000000006E-2"/>
    <x v="20"/>
    <n v="45269.95"/>
    <n v="90.514422584206784"/>
    <n v="91.836399999999998"/>
    <n v="1.3219774157932136"/>
  </r>
  <r>
    <s v="ZTFI-0022"/>
    <n v="100"/>
    <n v="5.11E-2"/>
    <n v="7.2599999999999998E-2"/>
    <x v="21"/>
    <n v="14640.1"/>
    <n v="73.280738217516301"/>
    <n v="74.457899999999995"/>
    <n v="1.1771617824836937"/>
  </r>
  <r>
    <s v="ZTFI-0023"/>
    <n v="100"/>
    <n v="6.2300000000000001E-2"/>
    <n v="7.1999999999999995E-2"/>
    <x v="22"/>
    <n v="4594.96"/>
    <n v="91.813728482189617"/>
    <n v="92.367000000000004"/>
    <n v="0.55327151781038708"/>
  </r>
  <r>
    <s v="ZTFI-0024"/>
    <n v="100"/>
    <n v="6.7500000000000004E-2"/>
    <n v="7.3800000000000004E-2"/>
    <x v="23"/>
    <n v="18889.64"/>
    <n v="94.481198529038622"/>
    <n v="95.173599999999993"/>
    <n v="0.13463218542334232"/>
  </r>
  <r>
    <s v="ZTFI-0025"/>
    <n v="100"/>
    <n v="5.96E-2"/>
    <n v="6.7400000000000002E-2"/>
    <x v="24"/>
    <n v="9594.8799999999992"/>
    <n v="95.883067814576663"/>
    <n v="96.017700000000005"/>
    <n v="0.42452636550474665"/>
  </r>
  <r>
    <s v="ZTFI-0026"/>
    <n v="100"/>
    <n v="6.8699999999999997E-2"/>
    <n v="7.3999999999999996E-2"/>
    <x v="25"/>
    <n v="4987.2299999999996"/>
    <n v="99.695873634495257"/>
    <n v="100.1204"/>
    <n v="1.7737739649072068"/>
  </r>
  <r>
    <s v="ZTFI-0027"/>
    <n v="100"/>
    <n v="7.7100000000000002E-2"/>
    <n v="7.2599999999999998E-2"/>
    <x v="26"/>
    <n v="104761.60000000001"/>
    <n v="104.7358260350928"/>
    <n v="106.50960000000001"/>
    <n v="0.10252592142599326"/>
  </r>
  <r>
    <s v="ZTFI-0028"/>
    <n v="100"/>
    <n v="5.2200000000000003E-2"/>
    <n v="6.8500000000000005E-2"/>
    <x v="27"/>
    <n v="84304.3"/>
    <n v="84.398574078574001"/>
    <n v="84.501099999999994"/>
    <n v="1.2167559951288496"/>
  </r>
  <r>
    <s v="ZTFI-0029"/>
    <n v="100"/>
    <n v="5.5899999999999998E-2"/>
    <n v="7.3099999999999998E-2"/>
    <x v="28"/>
    <n v="162993.4"/>
    <n v="81.510644004871153"/>
    <n v="82.727400000000003"/>
    <n v="0.59723782393965053"/>
  </r>
  <r>
    <s v="ZTFI-0030"/>
    <n v="100"/>
    <n v="5.6300000000000003E-2"/>
    <n v="6.9099999999999995E-2"/>
    <x v="29"/>
    <n v="171848.4"/>
    <n v="85.896062176060354"/>
    <n v="86.493300000000005"/>
    <n v="0.41817897995436226"/>
  </r>
  <r>
    <s v="ZTFI-0031"/>
    <n v="100"/>
    <n v="5.3900000000000003E-2"/>
    <n v="6.7699999999999996E-2"/>
    <x v="30"/>
    <n v="16576.560000000001"/>
    <n v="82.905021020045638"/>
    <n v="83.3232"/>
    <n v="1.1757917733553995"/>
  </r>
  <r>
    <s v="ZTFI-0032"/>
    <n v="100"/>
    <n v="7.2300000000000003E-2"/>
    <n v="7.4999999999999997E-2"/>
    <x v="31"/>
    <n v="9974.4500000000007"/>
    <n v="99.691808226644596"/>
    <n v="100.8676"/>
    <n v="-0.17359767420418848"/>
  </r>
  <r>
    <s v="ZTFI-0033"/>
    <n v="100"/>
    <n v="7.7499999999999999E-2"/>
    <n v="6.6699999999999995E-2"/>
    <x v="32"/>
    <n v="20398.259999999998"/>
    <n v="102.21469767420419"/>
    <n v="102.0411"/>
    <n v="0.14578700018689972"/>
  </r>
  <r>
    <s v="ZTFI-0034"/>
    <n v="100"/>
    <n v="7.2700000000000001E-2"/>
    <n v="6.8599999999999994E-2"/>
    <x v="33"/>
    <n v="52470.95"/>
    <n v="104.9214129998131"/>
    <n v="105.0672"/>
    <n v="0.85841003566414997"/>
  </r>
  <r>
    <s v="ZTFI-0035"/>
    <n v="100"/>
    <n v="7.7499999999999999E-2"/>
    <n v="7.4700000000000003E-2"/>
    <x v="34"/>
    <n v="509404"/>
    <n v="101.86628996433585"/>
    <n v="102.7247"/>
    <n v="0.37945695502253329"/>
  </r>
  <r>
    <s v="ZTFI-0036"/>
    <n v="100"/>
    <n v="5.0799999999999998E-2"/>
    <n v="6.7199999999999996E-2"/>
    <x v="35"/>
    <n v="413901.5"/>
    <n v="82.75604304497746"/>
    <n v="83.135499999999993"/>
    <n v="1.1780624550577699"/>
  </r>
  <r>
    <s v="ZTFI-0037"/>
    <n v="100"/>
    <n v="6.8400000000000002E-2"/>
    <n v="6.5199999999999994E-2"/>
    <x v="36"/>
    <n v="20790.439999999999"/>
    <n v="103.95713754494223"/>
    <n v="105.1352"/>
    <n v="0.22754008336497122"/>
  </r>
  <r>
    <s v="ZTFI-0038"/>
    <n v="100"/>
    <n v="7.0000000000000007E-2"/>
    <n v="6.7400000000000002E-2"/>
    <x v="37"/>
    <n v="204665.2"/>
    <n v="102.31425991663502"/>
    <n v="102.54179999999999"/>
    <n v="1.5587806908038999"/>
  </r>
  <r>
    <s v="ZTFI-0039"/>
    <n v="100"/>
    <n v="5.6500000000000002E-2"/>
    <n v="7.2400000000000006E-2"/>
    <x v="38"/>
    <n v="9003.69"/>
    <n v="89.8543193091961"/>
    <n v="91.4131"/>
    <n v="1.1746372816036228"/>
  </r>
  <r>
    <s v="ZTFI-0040"/>
    <n v="100"/>
    <n v="5.5300000000000002E-2"/>
    <n v="7.3999999999999996E-2"/>
    <x v="39"/>
    <n v="4752.5200000000004"/>
    <n v="94.429762718396375"/>
    <n v="95.604399999999998"/>
    <n v="1.0132732837603271"/>
  </r>
  <r>
    <s v="ZTFI-0041"/>
    <n v="100"/>
    <n v="6.7299999999999999E-2"/>
    <n v="6.9000000000000006E-2"/>
    <x v="40"/>
    <n v="49707.25"/>
    <n v="99.391426716239678"/>
    <n v="100.40470000000001"/>
    <n v="0.65353503979744687"/>
  </r>
  <r>
    <s v="ZTFI-0042"/>
    <n v="100"/>
    <n v="5.6800000000000003E-2"/>
    <n v="6.5000000000000002E-2"/>
    <x v="41"/>
    <n v="44364.6"/>
    <n v="88.742964960202556"/>
    <n v="89.396500000000003"/>
    <n v="1.5865097463064899"/>
  </r>
  <r>
    <s v="ZTFI-0043"/>
    <n v="100"/>
    <n v="6.5500000000000003E-2"/>
    <n v="7.3700000000000002E-2"/>
    <x v="42"/>
    <n v="4961.16"/>
    <n v="98.934590253693514"/>
    <n v="100.5211"/>
    <n v="1.6155212553929914"/>
  </r>
  <r>
    <s v="ZTFI-0044"/>
    <n v="100"/>
    <n v="6.7000000000000004E-2"/>
    <n v="7.1300000000000002E-2"/>
    <x v="43"/>
    <n v="4786.9399999999996"/>
    <n v="95.734578744607006"/>
    <n v="97.350099999999998"/>
    <n v="1.0732162754391652"/>
  </r>
  <r>
    <s v="ZTFI-0045"/>
    <n v="100"/>
    <n v="6.2399999999999997E-2"/>
    <n v="6.9900000000000004E-2"/>
    <x v="44"/>
    <n v="46192.800000000003"/>
    <n v="92.357783724560832"/>
    <n v="93.430999999999997"/>
    <n v="0.91241762536850501"/>
  </r>
  <r>
    <s v="ZTFI-0046"/>
    <n v="100"/>
    <n v="5.9200000000000003E-2"/>
    <n v="7.3700000000000002E-2"/>
    <x v="45"/>
    <n v="4386.57"/>
    <n v="87.6219823746315"/>
    <n v="88.534400000000005"/>
    <n v="0.78285342767992461"/>
  </r>
  <r>
    <s v="ZTFI-0047"/>
    <n v="100"/>
    <n v="5.3699999999999998E-2"/>
    <n v="7.2300000000000003E-2"/>
    <x v="46"/>
    <n v="4224.6099999999997"/>
    <n v="84.555246572320073"/>
    <n v="85.338099999999997"/>
    <n v="0.82403064334556575"/>
  </r>
  <r>
    <s v="ZTFI-0048"/>
    <n v="100"/>
    <n v="7.6999999999999999E-2"/>
    <n v="7.2499999999999995E-2"/>
    <x v="47"/>
    <n v="102011.6"/>
    <n v="101.98736935665444"/>
    <n v="102.81140000000001"/>
    <n v="0.30800958664104883"/>
  </r>
  <r>
    <s v="ZTFI-0049"/>
    <n v="100"/>
    <n v="5.79E-2"/>
    <n v="7.3300000000000004E-2"/>
    <x v="48"/>
    <n v="16629.86"/>
    <n v="83.250690413358953"/>
    <n v="83.558700000000002"/>
    <n v="0.52717228972807106"/>
  </r>
  <r>
    <s v="ZTFI-0050"/>
    <n v="100"/>
    <n v="6.08E-2"/>
    <n v="7.5300000000000006E-2"/>
    <x v="49"/>
    <n v="9101.69"/>
    <n v="90.844727710271926"/>
    <n v="91.371899999999997"/>
    <n v="0.34988148271983732"/>
  </r>
  <r>
    <s v="ZTFI-0051"/>
    <n v="100"/>
    <n v="5.9499999999999997E-2"/>
    <n v="6.9599999999999995E-2"/>
    <x v="50"/>
    <n v="99040.4"/>
    <n v="98.713318517280157"/>
    <n v="99.063199999999995"/>
    <n v="0.1571104179068783"/>
  </r>
  <r>
    <s v="ZTFI-0052"/>
    <n v="100"/>
    <n v="6.08E-2"/>
    <n v="7.4300000000000005E-2"/>
    <x v="51"/>
    <n v="44700.65"/>
    <n v="89.298789582093121"/>
    <n v="89.4559"/>
    <n v="0.90910629856020364"/>
  </r>
  <r>
    <s v="ZTFI-0053"/>
    <n v="100"/>
    <n v="5.1299999999999998E-2"/>
    <n v="6.8900000000000003E-2"/>
    <x v="52"/>
    <n v="9530.24"/>
    <n v="94.921793701439796"/>
    <n v="95.8309"/>
    <n v="0.51410000830264835"/>
  </r>
  <r>
    <s v="ZTFI-0054"/>
    <n v="100"/>
    <n v="6.3100000000000003E-2"/>
    <n v="7.1999999999999995E-2"/>
    <x v="53"/>
    <n v="467603"/>
    <n v="93.460199991697351"/>
    <n v="93.974299999999999"/>
    <n v="1.2465917381437777"/>
  </r>
  <r>
    <s v="ZTFI-0055"/>
    <n v="100"/>
    <n v="7.4300000000000005E-2"/>
    <n v="7.0999999999999994E-2"/>
    <x v="54"/>
    <n v="101481.2"/>
    <n v="101.53350826185623"/>
    <n v="102.7801"/>
    <n v="1.3843344149252914"/>
  </r>
  <r>
    <s v="ZTFI-0056"/>
    <n v="100"/>
    <n v="7.2900000000000006E-2"/>
    <n v="7.1499999999999994E-2"/>
    <x v="55"/>
    <n v="201347"/>
    <n v="100.6878655850747"/>
    <n v="102.0722"/>
    <n v="0.54825659274007421"/>
  </r>
  <r>
    <s v="ZTFI-0057"/>
    <n v="100"/>
    <n v="5.9299999999999999E-2"/>
    <n v="6.6400000000000001E-2"/>
    <x v="56"/>
    <n v="91465.2"/>
    <n v="91.459343407259922"/>
    <n v="92.007599999999996"/>
    <n v="0.25655235766653561"/>
  </r>
  <r>
    <s v="ZTFI-0058"/>
    <n v="100"/>
    <n v="7.7600000000000002E-2"/>
    <n v="7.3300000000000004E-2"/>
    <x v="57"/>
    <n v="5261.82"/>
    <n v="105.21974764233346"/>
    <n v="105.47629999999999"/>
    <n v="0.44922456259401145"/>
  </r>
  <r>
    <s v="ZTFI-0059"/>
    <n v="100"/>
    <n v="5.9299999999999999E-2"/>
    <n v="7.17E-2"/>
    <x v="58"/>
    <n v="47019.3"/>
    <n v="94.037375437405984"/>
    <n v="94.486599999999996"/>
    <n v="1.139168913941603"/>
  </r>
  <r>
    <s v="ZTFI-0060"/>
    <n v="100"/>
    <n v="6.1100000000000002E-2"/>
    <n v="7.2800000000000004E-2"/>
    <x v="59"/>
    <n v="89627.1"/>
    <n v="89.621731086058404"/>
    <n v="90.760900000000007"/>
    <n v="1.2763412176516482"/>
  </r>
  <r>
    <s v="ZTFI-0061"/>
    <n v="100"/>
    <n v="7.7100000000000002E-2"/>
    <n v="7.22E-2"/>
    <x v="60"/>
    <n v="105458.8"/>
    <n v="105.42535878234835"/>
    <n v="106.7017"/>
    <n v="0.62682320838794681"/>
  </r>
  <r>
    <s v="ZTFI-0062"/>
    <n v="100"/>
    <n v="5.6899999999999999E-2"/>
    <n v="6.7199999999999996E-2"/>
    <x v="61"/>
    <n v="490510.5"/>
    <n v="97.769976791612052"/>
    <n v="98.396799999999999"/>
    <n v="0.69789628284780747"/>
  </r>
  <r>
    <s v="ZTFI-0063"/>
    <n v="100"/>
    <n v="5.3100000000000001E-2"/>
    <n v="6.88E-2"/>
    <x v="62"/>
    <n v="485562.5"/>
    <n v="96.84440371715219"/>
    <n v="97.542299999999997"/>
    <n v="1.4862887232498707"/>
  </r>
  <r>
    <s v="ZTFI-0064"/>
    <n v="100"/>
    <n v="6.6900000000000001E-2"/>
    <n v="7.4899999999999994E-2"/>
    <x v="63"/>
    <n v="4571.8900000000003"/>
    <n v="91.471311276750129"/>
    <n v="92.957599999999999"/>
    <n v="1.134407047382993"/>
  </r>
  <r>
    <s v="ZTFI-0065"/>
    <n v="100"/>
    <n v="5.9200000000000003E-2"/>
    <n v="6.7900000000000002E-2"/>
    <x v="64"/>
    <n v="187963.2"/>
    <n v="93.901192952617009"/>
    <n v="95.035600000000002"/>
    <n v="0.33790725657433995"/>
  </r>
  <r>
    <s v="ZTFI-0066"/>
    <n v="100"/>
    <n v="6.2300000000000001E-2"/>
    <n v="7.3700000000000002E-2"/>
    <x v="65"/>
    <n v="46297.95"/>
    <n v="92.40609274342566"/>
    <n v="92.744"/>
    <n v="0.99964919061923752"/>
  </r>
  <r>
    <s v="ZTFI-0067"/>
    <n v="100"/>
    <n v="7.1199999999999999E-2"/>
    <n v="7.0800000000000002E-2"/>
    <x v="66"/>
    <n v="100328.2"/>
    <n v="100.32835080938077"/>
    <n v="101.328"/>
    <n v="0.12670198792555709"/>
  </r>
  <r>
    <s v="ZTFI-0068"/>
    <n v="100"/>
    <n v="5.6099999999999997E-2"/>
    <n v="6.6100000000000006E-2"/>
    <x v="67"/>
    <n v="436602.5"/>
    <n v="87.354898012074443"/>
    <n v="87.4816"/>
    <n v="0.79533270176749227"/>
  </r>
  <r>
    <s v="ZTFI-0069"/>
    <n v="100"/>
    <n v="5.5100000000000003E-2"/>
    <n v="6.8699999999999997E-2"/>
    <x v="68"/>
    <n v="9254.16"/>
    <n v="92.526367298232515"/>
    <n v="93.321700000000007"/>
    <n v="0.26542411436808777"/>
  </r>
  <r>
    <s v="ZTFI-0070"/>
    <n v="100"/>
    <n v="6.0499999999999998E-2"/>
    <n v="7.0999999999999994E-2"/>
    <x v="69"/>
    <n v="4628.6099999999997"/>
    <n v="92.541975885631913"/>
    <n v="92.807400000000001"/>
    <n v="0.8172055180409501"/>
  </r>
  <r>
    <s v="ZTFI-0071"/>
    <n v="100"/>
    <n v="7.1499999999999994E-2"/>
    <n v="6.6199999999999995E-2"/>
    <x v="70"/>
    <n v="204820.8"/>
    <n v="102.46309448195905"/>
    <n v="103.2803"/>
    <n v="1.0048436282814919"/>
  </r>
  <r>
    <s v="ZTFI-0072"/>
    <n v="100"/>
    <n v="5.8200000000000002E-2"/>
    <n v="7.2800000000000004E-2"/>
    <x v="71"/>
    <n v="9126.34"/>
    <n v="91.033456371718515"/>
    <n v="92.038300000000007"/>
    <n v="1.038218867137175E-2"/>
  </r>
  <r>
    <s v="ZTFI-0073"/>
    <n v="100"/>
    <n v="6.6400000000000001E-2"/>
    <n v="7.17E-2"/>
    <x v="72"/>
    <n v="18682.34"/>
    <n v="93.435917811328622"/>
    <n v="93.446299999999994"/>
    <n v="0.31125242311979662"/>
  </r>
  <r>
    <s v="ZTFI-0074"/>
    <n v="100"/>
    <n v="6.4899999999999999E-2"/>
    <n v="7.2800000000000004E-2"/>
    <x v="73"/>
    <n v="9328.1299999999992"/>
    <n v="93.242847576880209"/>
    <n v="93.554100000000005"/>
    <n v="1.3419700386062345"/>
  </r>
  <r>
    <s v="ZTFI-0075"/>
    <n v="100"/>
    <n v="5.4899999999999997E-2"/>
    <n v="7.1900000000000006E-2"/>
    <x v="74"/>
    <n v="9617.25"/>
    <n v="95.692429961393771"/>
    <n v="97.034400000000005"/>
    <n v="0.62239116471175748"/>
  </r>
  <r>
    <s v="ZTFI-0076"/>
    <n v="100"/>
    <n v="6.2600000000000003E-2"/>
    <n v="7.1199999999999999E-2"/>
    <x v="75"/>
    <n v="18917.12"/>
    <n v="94.44900883528824"/>
    <n v="95.071399999999997"/>
    <n v="1.0736143254361252"/>
  </r>
  <r>
    <s v="ZTFI-0077"/>
    <n v="100"/>
    <n v="6.6500000000000004E-2"/>
    <n v="7.3499999999999996E-2"/>
    <x v="76"/>
    <n v="197439.4"/>
    <n v="98.651885674563871"/>
    <n v="99.725499999999997"/>
    <n v="0.75221819095827414"/>
  </r>
  <r>
    <s v="ZTFI-0078"/>
    <n v="100"/>
    <n v="6.4899999999999999E-2"/>
    <n v="7.46E-2"/>
    <x v="77"/>
    <n v="47392.15"/>
    <n v="94.58108180904172"/>
    <n v="95.333299999999994"/>
    <n v="1.0112494228129378"/>
  </r>
  <r>
    <s v="ZTFI-0079"/>
    <n v="100"/>
    <n v="5.9499999999999997E-2"/>
    <n v="7.46E-2"/>
    <x v="78"/>
    <n v="16453.759999999998"/>
    <n v="82.296550577187062"/>
    <n v="83.3078"/>
    <n v="1.2875527714711552"/>
  </r>
  <r>
    <s v="ZTFI-0080"/>
    <n v="100"/>
    <n v="6.4500000000000002E-2"/>
    <n v="6.6900000000000001E-2"/>
    <x v="79"/>
    <n v="9966.2800000000007"/>
    <n v="99.610647228528848"/>
    <n v="100.8982"/>
    <n v="1.4196806223551874"/>
  </r>
  <r>
    <s v="ZTFI-0081"/>
    <n v="100"/>
    <n v="7.9899999999999999E-2"/>
    <n v="7.3800000000000004E-2"/>
    <x v="80"/>
    <n v="10426.120000000001"/>
    <n v="104.22551937764482"/>
    <n v="105.6452"/>
    <n v="1.6009756572106255"/>
  </r>
  <r>
    <s v="ZTFI-0082"/>
    <n v="100"/>
    <n v="6.9099999999999995E-2"/>
    <n v="7.9000000000000001E-2"/>
    <x v="81"/>
    <n v="9702.35"/>
    <n v="97.058724342789375"/>
    <n v="98.659700000000001"/>
    <n v="0.93839057456419539"/>
  </r>
  <r>
    <s v="ZTFI-0083"/>
    <n v="100"/>
    <n v="6.59E-2"/>
    <n v="7.5499999999999998E-2"/>
    <x v="82"/>
    <n v="4933.1099999999997"/>
    <n v="98.573809425435812"/>
    <n v="99.512200000000007"/>
    <n v="1.9150893497289871"/>
  </r>
  <r>
    <s v="ZTFI-0084"/>
    <n v="100"/>
    <n v="0.08"/>
    <n v="7.3999999999999996E-2"/>
    <x v="83"/>
    <n v="20167.46"/>
    <n v="100.91131065027102"/>
    <n v="102.82640000000001"/>
    <n v="0.22244245384300143"/>
  </r>
  <r>
    <s v="ZTFI-0085"/>
    <n v="100"/>
    <n v="7.7899999999999997E-2"/>
    <n v="7.0099999999999996E-2"/>
    <x v="84"/>
    <n v="5162.1400000000003"/>
    <n v="103.440257546157"/>
    <n v="103.6627"/>
    <n v="1.2056370551419064"/>
  </r>
  <r>
    <s v="ZTFI-0086"/>
    <n v="100"/>
    <n v="6.6100000000000006E-2"/>
    <n v="7.0199999999999999E-2"/>
    <x v="85"/>
    <n v="98591.4"/>
    <n v="98.573162944858097"/>
    <n v="99.778800000000004"/>
    <n v="0.61772707111072123"/>
  </r>
  <r>
    <s v="ZTFI-0087"/>
    <n v="100"/>
    <n v="6.6199999999999995E-2"/>
    <n v="7.7899999999999997E-2"/>
    <x v="86"/>
    <n v="95230.2"/>
    <n v="95.258672928889283"/>
    <n v="95.876400000000004"/>
    <n v="0.35191414573242241"/>
  </r>
  <r>
    <s v="ZTFI-0088"/>
    <n v="100"/>
    <n v="7.7499999999999999E-2"/>
    <n v="7.3499999999999996E-2"/>
    <x v="87"/>
    <n v="20407.599999999999"/>
    <n v="102.02528585426758"/>
    <n v="102.3772"/>
    <n v="0.31280918834382021"/>
  </r>
  <r>
    <s v="ZTFI-0089"/>
    <n v="100"/>
    <n v="7.0400000000000004E-2"/>
    <n v="7.9899999999999999E-2"/>
    <x v="88"/>
    <n v="97509.6"/>
    <n v="97.261290811656181"/>
    <n v="97.574100000000001"/>
    <n v="1.4081738507749719"/>
  </r>
  <r>
    <s v="ZTFI-0090"/>
    <n v="100"/>
    <n v="7.0800000000000002E-2"/>
    <n v="7.4999999999999997E-2"/>
    <x v="89"/>
    <n v="495292.5"/>
    <n v="99.06832614922503"/>
    <n v="100.4765"/>
    <n v="7.9439919349439947E-2"/>
  </r>
  <r>
    <s v="ZTFI-0091"/>
    <n v="100"/>
    <n v="7.0199999999999999E-2"/>
    <n v="7.17E-2"/>
    <x v="90"/>
    <n v="49771.45"/>
    <n v="99.537760080650557"/>
    <n v="99.617199999999997"/>
    <n v="0.68384093143457392"/>
  </r>
  <r>
    <s v="ZTFI-0092"/>
    <n v="100"/>
    <n v="7.6499999999999999E-2"/>
    <n v="7.0699999999999999E-2"/>
    <x v="91"/>
    <n v="519069.5"/>
    <n v="103.82265906856543"/>
    <n v="104.5065"/>
    <n v="0.9334135821620464"/>
  </r>
  <r>
    <s v="ZTFI-0093"/>
    <n v="100"/>
    <n v="7.0300000000000001E-2"/>
    <n v="7.1099999999999997E-2"/>
    <x v="92"/>
    <n v="199393"/>
    <n v="99.672986417837947"/>
    <n v="100.60639999999999"/>
    <n v="1.784772431726168"/>
  </r>
  <r>
    <s v="ZTFI-0094"/>
    <n v="100"/>
    <n v="7.2700000000000001E-2"/>
    <n v="7.0900000000000005E-2"/>
    <x v="93"/>
    <n v="202066.6"/>
    <n v="101.04162756827384"/>
    <n v="102.82640000000001"/>
    <n v="1.1953639072056603"/>
  </r>
  <r>
    <s v="ZTFI-0095"/>
    <n v="100"/>
    <n v="8.1699999999999995E-2"/>
    <n v="7.7899999999999997E-2"/>
    <x v="94"/>
    <n v="5150.07"/>
    <n v="102.97493609279434"/>
    <n v="104.1703"/>
    <n v="0.18053579262193864"/>
  </r>
  <r>
    <s v="ZTFI-0096"/>
    <n v="100"/>
    <n v="6.6299999999999998E-2"/>
    <n v="7.4499999999999997E-2"/>
    <x v="95"/>
    <n v="195662.6"/>
    <n v="97.863464207378058"/>
    <n v="98.043999999999997"/>
    <n v="0.48468928954393675"/>
  </r>
  <r>
    <s v="ZTFI-0097"/>
    <n v="100"/>
    <n v="8.09E-2"/>
    <n v="7.9399999999999998E-2"/>
    <x v="96"/>
    <n v="20090.14"/>
    <n v="100.47281071045606"/>
    <n v="100.9575"/>
    <n v="1.5860327868034716"/>
  </r>
  <r>
    <s v="ZTFI-0098"/>
    <n v="100"/>
    <n v="7.6200000000000004E-2"/>
    <n v="7.3400000000000007E-2"/>
    <x v="79"/>
    <n v="100391"/>
    <n v="100.45046721319653"/>
    <n v="102.0365"/>
    <n v="0.86589652390127014"/>
  </r>
  <r>
    <s v="ZTFI-0099"/>
    <n v="100"/>
    <n v="7.5899999999999995E-2"/>
    <n v="7.8E-2"/>
    <x v="97"/>
    <n v="198734.8"/>
    <n v="99.362103476098724"/>
    <n v="100.22799999999999"/>
    <n v="0.11085658547166588"/>
  </r>
  <r>
    <s v="ZTFI-0100"/>
    <n v="100"/>
    <n v="7.7499999999999999E-2"/>
    <n v="7.1300000000000002E-2"/>
    <x v="98"/>
    <n v="20059.86"/>
    <n v="100.39414341452833"/>
    <n v="100.505"/>
    <n v="1.5195612173583726"/>
  </r>
  <r>
    <s v="ZTFI-0101"/>
    <n v="100"/>
    <n v="7.2099999999999997E-2"/>
    <n v="7.9299999999999995E-2"/>
    <x v="99"/>
    <n v="198641.4"/>
    <n v="99.176638782641632"/>
    <n v="100.6962"/>
    <n v="0.88120000000000687"/>
  </r>
  <r>
    <s v="ZTFI-0102"/>
    <n v="100"/>
    <n v="7.4899999999999994E-2"/>
    <n v="7.4899999999999994E-2"/>
    <x v="100"/>
    <n v="500000"/>
    <n v="100"/>
    <n v="100.88120000000001"/>
    <n v="1.0054915765965404"/>
  </r>
  <r>
    <s v="ZTFI-0103"/>
    <n v="100"/>
    <n v="7.46E-2"/>
    <n v="7.0699999999999999E-2"/>
    <x v="101"/>
    <n v="101190.8"/>
    <n v="101.21080842340346"/>
    <n v="102.2163"/>
    <n v="0.91973556500458642"/>
  </r>
  <r>
    <s v="ZTFI-0104"/>
    <n v="100"/>
    <n v="7.1800000000000003E-2"/>
    <n v="7.1400000000000005E-2"/>
    <x v="102"/>
    <n v="20014.66"/>
    <n v="100.08576443499541"/>
    <n v="101.0055"/>
    <n v="0.72865238622115669"/>
  </r>
  <r>
    <s v="ZTFI-0105"/>
    <n v="100"/>
    <n v="7.9100000000000004E-2"/>
    <n v="7.5600000000000001E-2"/>
    <x v="103"/>
    <n v="50775.7"/>
    <n v="101.55114761377884"/>
    <n v="102.27979999999999"/>
    <n v="0.34558459399816854"/>
  </r>
  <r>
    <s v="ZTFI-0106"/>
    <n v="100"/>
    <n v="7.4899999999999994E-2"/>
    <n v="7.7200000000000005E-2"/>
    <x v="104"/>
    <n v="497906"/>
    <n v="99.512315406001832"/>
    <n v="99.857900000000001"/>
    <n v="0.17001056571577067"/>
  </r>
  <r>
    <s v="ZTFI-0107"/>
    <n v="100"/>
    <n v="7.1999999999999995E-2"/>
    <n v="7.4700000000000003E-2"/>
    <x v="105"/>
    <n v="494001.5"/>
    <n v="98.742389434284235"/>
    <n v="98.912400000000005"/>
    <n v="0.53095594945692426"/>
  </r>
  <r>
    <s v="ZTFI-0108"/>
    <n v="100"/>
    <n v="7.4300000000000005E-2"/>
    <n v="7.7200000000000005E-2"/>
    <x v="106"/>
    <n v="198472.8"/>
    <n v="99.196544050543082"/>
    <n v="99.727500000000006"/>
    <n v="1.1111844350827198"/>
  </r>
  <r>
    <s v="ZTFI-0109"/>
    <n v="100"/>
    <n v="7.3200000000000001E-2"/>
    <n v="7.8E-2"/>
    <x v="107"/>
    <n v="19909.34"/>
    <n v="99.485015564917276"/>
    <n v="100.5962"/>
    <n v="1.1124742840564323"/>
  </r>
  <r>
    <s v="ZTFI-0110"/>
    <n v="100"/>
    <n v="6.8599999999999994E-2"/>
    <n v="7.5600000000000001E-2"/>
    <x v="108"/>
    <n v="19209.599999999999"/>
    <n v="95.991425715943564"/>
    <n v="97.103899999999996"/>
    <n v="1.2636440575303993"/>
  </r>
  <r>
    <s v="ZTFI-0111"/>
    <n v="100"/>
    <n v="7.0099999999999996E-2"/>
    <n v="7.7100000000000002E-2"/>
    <x v="109"/>
    <n v="199326"/>
    <n v="99.539455942469601"/>
    <n v="100.8031"/>
    <n v="-0.46188190923142258"/>
  </r>
  <r>
    <s v="ZTFI-0112"/>
    <n v="100"/>
    <n v="8.9899999999999994E-2"/>
    <n v="7.7399999999999997E-2"/>
    <x v="110"/>
    <n v="203477.4"/>
    <n v="102.22138190923143"/>
    <n v="101.7595"/>
    <n v="1.4354826816852153"/>
  </r>
  <r>
    <s v="ZTFI-0113"/>
    <n v="100"/>
    <n v="7.6600000000000001E-2"/>
    <n v="8.43E-2"/>
    <x v="111"/>
    <n v="4899.79"/>
    <n v="97.851817318314787"/>
    <n v="99.287300000000002"/>
    <n v="1.2094999300070128"/>
  </r>
  <r>
    <s v="ZTFI-0114"/>
    <n v="100"/>
    <n v="7.6499999999999999E-2"/>
    <n v="0.08"/>
    <x v="112"/>
    <n v="49410.9"/>
    <n v="98.726300069992988"/>
    <n v="99.9358"/>
    <n v="1.2278958614104312"/>
  </r>
  <r>
    <s v="ZTFI-0115"/>
    <n v="100"/>
    <n v="8.3799999999999999E-2"/>
    <n v="7.7899999999999997E-2"/>
    <x v="113"/>
    <n v="10177.75"/>
    <n v="101.81860413858956"/>
    <n v="103.04649999999999"/>
    <n v="0.87304738692986916"/>
  </r>
  <r>
    <s v="ZTFI-0116"/>
    <n v="100"/>
    <n v="7.1599999999999997E-2"/>
    <n v="8.2100000000000006E-2"/>
    <x v="114"/>
    <n v="98099"/>
    <n v="97.813252613070134"/>
    <n v="98.686300000000003"/>
    <n v="1.6710769315597958"/>
  </r>
  <r>
    <s v="ZTFI-0117"/>
    <n v="100"/>
    <n v="7.8299999999999995E-2"/>
    <n v="8.3699999999999997E-2"/>
    <x v="115"/>
    <n v="19948.16"/>
    <n v="99.529623068440202"/>
    <n v="101.2007"/>
    <n v="1.8414215953504822"/>
  </r>
  <r>
    <s v="ZTFI-0118"/>
    <n v="100"/>
    <n v="7.7499999999999999E-2"/>
    <n v="8.6900000000000005E-2"/>
    <x v="116"/>
    <n v="48440.1"/>
    <n v="96.705578404649515"/>
    <n v="98.546999999999997"/>
    <n v="1.7495847312387269"/>
  </r>
  <r>
    <s v="ZTFI-0119"/>
    <n v="100"/>
    <n v="7.4999999999999997E-2"/>
    <n v="7.7499999999999999E-2"/>
    <x v="117"/>
    <n v="197795"/>
    <n v="98.903315268761276"/>
    <n v="100.6529"/>
    <n v="1.4732025402912399"/>
  </r>
  <r>
    <s v="ZTFI-0120"/>
    <n v="100"/>
    <n v="7.4300000000000005E-2"/>
    <n v="8.7900000000000006E-2"/>
    <x v="118"/>
    <n v="9872.4699999999993"/>
    <n v="98.324197459708756"/>
    <n v="99.797399999999996"/>
    <n v="1.058733108452202"/>
  </r>
  <r>
    <s v="ZTFI-0121"/>
    <n v="100"/>
    <n v="8.2500000000000004E-2"/>
    <n v="7.5600000000000001E-2"/>
    <x v="119"/>
    <n v="20417.52"/>
    <n v="102.1105668915478"/>
    <n v="103.16930000000001"/>
    <n v="0.64304352640026252"/>
  </r>
  <r>
    <s v="ZTFI-0122"/>
    <n v="100"/>
    <n v="8.8300000000000003E-2"/>
    <n v="8.0399999999999999E-2"/>
    <x v="120"/>
    <n v="103456.7"/>
    <n v="103.54275647359974"/>
    <n v="104.1858"/>
    <n v="1.7083805385152004"/>
  </r>
  <r>
    <s v="ZTFI-0123"/>
    <n v="100"/>
    <n v="7.3800000000000004E-2"/>
    <n v="7.7700000000000005E-2"/>
    <x v="121"/>
    <n v="19562.88"/>
    <n v="97.835119461484794"/>
    <n v="99.543499999999995"/>
    <n v="0.64184858449574733"/>
  </r>
  <r>
    <s v="ZTFI-0124"/>
    <n v="100"/>
    <n v="8.0699999999999994E-2"/>
    <n v="7.9699999999999993E-2"/>
    <x v="122"/>
    <n v="50186"/>
    <n v="100.37625141550426"/>
    <n v="101.0181"/>
    <n v="1.4551599666794885"/>
  </r>
  <r>
    <s v="ZTFI-0125"/>
    <n v="100"/>
    <n v="7.6600000000000001E-2"/>
    <n v="7.8200000000000006E-2"/>
    <x v="123"/>
    <n v="99518.2"/>
    <n v="99.524840033320515"/>
    <n v="100.98"/>
    <n v="-0.15005492246542929"/>
  </r>
  <r>
    <s v="ZTFI-0126"/>
    <n v="100"/>
    <n v="8.9800000000000005E-2"/>
    <n v="8.5900000000000004E-2"/>
    <x v="124"/>
    <n v="5009.3500000000004"/>
    <n v="100.35135492246543"/>
    <n v="100.2013"/>
    <n v="0.56474896687397802"/>
  </r>
  <r>
    <s v="ZTFI-0127"/>
    <n v="100"/>
    <n v="8.8300000000000003E-2"/>
    <n v="8.1900000000000001E-2"/>
    <x v="125"/>
    <n v="51851.35"/>
    <n v="103.77085103312602"/>
    <n v="104.3356"/>
    <n v="0.76783363812856464"/>
  </r>
  <r>
    <s v="ZTFI-0128"/>
    <n v="100"/>
    <n v="7.5300000000000006E-2"/>
    <n v="8.7499999999999994E-2"/>
    <x v="126"/>
    <n v="47024.05"/>
    <n v="93.844966361871428"/>
    <n v="94.612799999999993"/>
    <n v="0.6704317939351796"/>
  </r>
  <r>
    <s v="ZTFI-0129"/>
    <n v="100"/>
    <n v="7.17E-2"/>
    <n v="7.9299999999999995E-2"/>
    <x v="127"/>
    <n v="491533"/>
    <n v="98.048068206064826"/>
    <n v="98.718500000000006"/>
    <n v="1.5010472752279469"/>
  </r>
  <r>
    <s v="ZTFI-0130"/>
    <n v="100"/>
    <n v="7.2900000000000006E-2"/>
    <n v="7.8899999999999998E-2"/>
    <x v="128"/>
    <n v="99711.4"/>
    <n v="99.444252724772056"/>
    <n v="100.9453"/>
    <n v="0.4129839122122263"/>
  </r>
  <r>
    <s v="ZTFI-0131"/>
    <n v="100"/>
    <n v="8.2100000000000006E-2"/>
    <n v="7.9200000000000007E-2"/>
    <x v="129"/>
    <n v="200279"/>
    <n v="100.19481608778777"/>
    <n v="100.6078"/>
    <n v="1.5117371884218898"/>
  </r>
  <r>
    <s v="ZTFI-0132"/>
    <n v="100"/>
    <n v="7.7600000000000002E-2"/>
    <n v="7.9100000000000004E-2"/>
    <x v="130"/>
    <n v="4992.93"/>
    <n v="99.823762811578106"/>
    <n v="101.3355"/>
    <n v="0.96702044245814989"/>
  </r>
  <r>
    <s v="ZTFI-0133"/>
    <n v="100"/>
    <n v="8.2000000000000003E-2"/>
    <n v="7.5200000000000003E-2"/>
    <x v="131"/>
    <n v="50321.75"/>
    <n v="100.82347955754184"/>
    <n v="101.79049999999999"/>
    <n v="1.3448335243690082"/>
  </r>
  <r>
    <s v="ZTFI-0134"/>
    <n v="100"/>
    <n v="7.3300000000000004E-2"/>
    <n v="8.1299999999999997E-2"/>
    <x v="132"/>
    <n v="4895.38"/>
    <n v="97.708166475630989"/>
    <n v="99.052999999999997"/>
    <n v="0.79846223679491857"/>
  </r>
  <r>
    <s v="ZTFI-0135"/>
    <n v="100"/>
    <n v="7.8600000000000003E-2"/>
    <n v="8.2799999999999999E-2"/>
    <x v="133"/>
    <n v="198137.60000000001"/>
    <n v="99.052837763205076"/>
    <n v="99.851299999999995"/>
    <n v="0.51323773107260706"/>
  </r>
  <r>
    <s v="ZTFI-0136"/>
    <n v="100"/>
    <n v="7.3999999999999996E-2"/>
    <n v="8.5000000000000006E-2"/>
    <x v="134"/>
    <n v="4699.5200000000004"/>
    <n v="93.8649622689274"/>
    <n v="94.378200000000007"/>
    <n v="1.9692589475035618"/>
  </r>
  <r>
    <s v="ZTFI-0137"/>
    <n v="100"/>
    <n v="7.9000000000000001E-2"/>
    <n v="8.1900000000000001E-2"/>
    <x v="135"/>
    <n v="495663.5"/>
    <n v="99.076041052496436"/>
    <n v="101.0453"/>
    <n v="1.029614333577797"/>
  </r>
  <r>
    <s v="ZTFI-0138"/>
    <n v="100"/>
    <n v="7.1999999999999995E-2"/>
    <n v="8.1699999999999995E-2"/>
    <x v="136"/>
    <n v="98243"/>
    <n v="97.917385666422206"/>
    <n v="98.947000000000003"/>
    <n v="0.1450649274755591"/>
  </r>
  <r>
    <s v="ZTFI-0139"/>
    <n v="100"/>
    <n v="7.9100000000000004E-2"/>
    <n v="7.9500000000000001E-2"/>
    <x v="137"/>
    <n v="4996.37"/>
    <n v="99.915135072524436"/>
    <n v="100.06019999999999"/>
    <n v="0.8636530218614098"/>
  </r>
  <r>
    <s v="ZTFI-0140"/>
    <n v="100"/>
    <n v="7.6600000000000001E-2"/>
    <n v="7.8E-2"/>
    <x v="138"/>
    <n v="49966.3"/>
    <n v="99.896446978138584"/>
    <n v="100.76009999999999"/>
    <n v="1.0542099696842229"/>
  </r>
  <r>
    <s v="ZTFI-0141"/>
    <n v="100"/>
    <n v="8.1500000000000003E-2"/>
    <n v="7.9200000000000007E-2"/>
    <x v="139"/>
    <n v="50641.1"/>
    <n v="101.30319003031578"/>
    <n v="102.3574"/>
    <n v="1.0165349825423249"/>
  </r>
  <r>
    <s v="ZTFI-0142"/>
    <n v="100"/>
    <n v="8.8400000000000006E-2"/>
    <n v="7.9100000000000004E-2"/>
    <x v="140"/>
    <n v="10087.76"/>
    <n v="100.98996501745768"/>
    <n v="102.0065"/>
    <n v="1.225482302443055"/>
  </r>
  <r>
    <s v="ZTFI-0143"/>
    <n v="100"/>
    <n v="8.6800000000000002E-2"/>
    <n v="8.7400000000000005E-2"/>
    <x v="141"/>
    <n v="49985.65"/>
    <n v="99.964417697556939"/>
    <n v="101.18989999999999"/>
    <n v="1.1375377352104152"/>
  </r>
  <r>
    <s v="ZTFI-0144"/>
    <n v="100"/>
    <n v="7.0699999999999999E-2"/>
    <n v="7.7200000000000005E-2"/>
    <x v="142"/>
    <n v="49408.2"/>
    <n v="98.650462264789581"/>
    <n v="99.787999999999997"/>
    <n v="0.98870933601374134"/>
  </r>
  <r>
    <s v="ZTFI-0145"/>
    <n v="100"/>
    <n v="8.4699999999999998E-2"/>
    <n v="8.7999999999999995E-2"/>
    <x v="143"/>
    <n v="49573.1"/>
    <n v="99.087190663986263"/>
    <n v="100.0759"/>
    <n v="1.1724811647980573"/>
  </r>
  <r>
    <s v="ZTFI-0146"/>
    <n v="100"/>
    <n v="8.6099999999999996E-2"/>
    <n v="8.2799999999999999E-2"/>
    <x v="144"/>
    <n v="10086.1"/>
    <n v="100.92131883520194"/>
    <n v="102.0938"/>
    <n v="0.91866120666819029"/>
  </r>
  <r>
    <s v="ZTFI-0147"/>
    <n v="100"/>
    <n v="7.2800000000000004E-2"/>
    <n v="7.9899999999999999E-2"/>
    <x v="145"/>
    <n v="4935.5600000000004"/>
    <n v="98.525738793331811"/>
    <n v="99.444400000000002"/>
    <n v="0.31179148324886796"/>
  </r>
  <r>
    <s v="ZTFI-0148"/>
    <n v="100"/>
    <n v="7.8E-2"/>
    <n v="8.14E-2"/>
    <x v="146"/>
    <n v="19905.78"/>
    <n v="99.471808516751139"/>
    <n v="99.783600000000007"/>
    <n v="2.107712762464601"/>
  </r>
  <r>
    <s v="ZTFI-0149"/>
    <n v="100"/>
    <n v="8.9800000000000005E-2"/>
    <n v="8.4000000000000005E-2"/>
    <x v="147"/>
    <n v="10269.040000000001"/>
    <n v="102.6766872375354"/>
    <n v="104.78440000000001"/>
    <n v="-5.0727791671590694E-2"/>
  </r>
  <r>
    <s v="ZTFI-0150"/>
    <n v="100"/>
    <n v="8.3099999999999993E-2"/>
    <n v="8.1199999999999994E-2"/>
    <x v="148"/>
    <n v="10034.44"/>
    <n v="100.41442779167159"/>
    <n v="100.36369999999999"/>
    <n v="0.10000298375913985"/>
  </r>
  <r>
    <s v="ZTFI-0151"/>
    <n v="100"/>
    <n v="8.7599999999999997E-2"/>
    <n v="8.5599999999999996E-2"/>
    <x v="149"/>
    <n v="501803"/>
    <n v="100.41039701624086"/>
    <n v="100.5104"/>
    <n v="0.20536190329549697"/>
  </r>
  <r>
    <s v="ZTFI-0152"/>
    <n v="100"/>
    <n v="8.7900000000000006E-2"/>
    <n v="8.2699999999999996E-2"/>
    <x v="150"/>
    <n v="50244.7"/>
    <n v="100.5913380967045"/>
    <n v="100.7967"/>
    <n v="1.0214035320562829"/>
  </r>
  <r>
    <s v="ZTFI-0153"/>
    <n v="100"/>
    <n v="8.2100000000000006E-2"/>
    <n v="7.8799999999999995E-2"/>
    <x v="151"/>
    <n v="5022.92"/>
    <n v="100.45279646794371"/>
    <n v="101.4742"/>
    <n v="0.58611729442887395"/>
  </r>
  <r>
    <s v="ZTFI-0154"/>
    <n v="100"/>
    <n v="7.7299999999999994E-2"/>
    <n v="8.7400000000000005E-2"/>
    <x v="152"/>
    <n v="495262.5"/>
    <n v="98.883282705571119"/>
    <n v="99.469399999999993"/>
    <n v="1.3749208181083077"/>
  </r>
  <r>
    <s v="ZTFI-0155"/>
    <n v="100"/>
    <n v="7.17E-2"/>
    <n v="7.7600000000000002E-2"/>
    <x v="153"/>
    <n v="497213"/>
    <n v="99.204679181891692"/>
    <n v="100.5796"/>
    <n v="1.0076538050643506"/>
  </r>
  <r>
    <s v="ZTFI-0156"/>
    <n v="100"/>
    <n v="7.1099999999999997E-2"/>
    <n v="8.4199999999999997E-2"/>
    <x v="154"/>
    <n v="193179.6"/>
    <n v="96.511746194935654"/>
    <n v="97.519400000000005"/>
    <n v="0.33570171928555226"/>
  </r>
  <r>
    <s v="ZTFI-0157"/>
    <n v="100"/>
    <n v="8.4199999999999997E-2"/>
    <n v="8.1600000000000006E-2"/>
    <x v="151"/>
    <n v="5018.01"/>
    <n v="100.35559828071445"/>
    <n v="100.6913"/>
    <n v="1.5793546406067946"/>
  </r>
  <r>
    <s v="ZTFI-0158"/>
    <n v="100"/>
    <n v="7.7700000000000005E-2"/>
    <n v="8.7499999999999994E-2"/>
    <x v="155"/>
    <n v="4892.07"/>
    <n v="97.535745359393204"/>
    <n v="99.115099999999998"/>
    <n v="1.7589282994235305"/>
  </r>
  <r>
    <s v="ZTFI-0159"/>
    <n v="100"/>
    <n v="7.4499999999999997E-2"/>
    <n v="8.7400000000000005E-2"/>
    <x v="156"/>
    <n v="4969.1000000000004"/>
    <n v="99.19657170057647"/>
    <n v="100.9555"/>
    <n v="0.29645533619414266"/>
  </r>
  <r>
    <s v="ZTFI-0160"/>
    <n v="100"/>
    <n v="7.7399999999999997E-2"/>
    <n v="8.5099999999999995E-2"/>
    <x v="157"/>
    <n v="199261.4"/>
    <n v="99.625544663805854"/>
    <n v="99.921999999999997"/>
    <n v="1.3159245530368224"/>
  </r>
  <r>
    <s v="ZTFI-0161"/>
    <n v="100"/>
    <n v="9.9699999999999997E-2"/>
    <n v="8.5900000000000004E-2"/>
    <x v="158"/>
    <n v="10304.65"/>
    <n v="103.02607544696318"/>
    <n v="104.342"/>
    <n v="0.26869028474162349"/>
  </r>
  <r>
    <s v="ZTFI-0162"/>
    <n v="100"/>
    <n v="8.5199999999999998E-2"/>
    <n v="9.0899999999999995E-2"/>
    <x v="159"/>
    <n v="498637"/>
    <n v="99.617809715258375"/>
    <n v="99.886499999999998"/>
    <n v="1.544499289836935"/>
  </r>
  <r>
    <s v="ZTFI-0163"/>
    <n v="100"/>
    <n v="8.72E-2"/>
    <n v="9.1999999999999998E-2"/>
    <x v="160"/>
    <n v="496707.5"/>
    <n v="99.316200710163059"/>
    <n v="100.86069999999999"/>
    <n v="-0.13090389885293519"/>
  </r>
  <r>
    <s v="ZTFI-0164"/>
    <n v="100"/>
    <n v="9.7100000000000006E-2"/>
    <n v="8.8700000000000001E-2"/>
    <x v="161"/>
    <n v="50578"/>
    <n v="101.31590389885294"/>
    <n v="101.185"/>
    <n v="2.0197266172787494"/>
  </r>
  <r>
    <s v="ZTFI-0165"/>
    <n v="100"/>
    <n v="9.8000000000000004E-2"/>
    <n v="8.6400000000000005E-2"/>
    <x v="162"/>
    <n v="505444.5"/>
    <n v="101.33327338272125"/>
    <n v="103.35299999999999"/>
    <n v="0.84833511197271605"/>
  </r>
  <r>
    <s v="ZTFI-0166"/>
    <n v="100"/>
    <n v="9.2299999999999993E-2"/>
    <n v="8.9399999999999993E-2"/>
    <x v="163"/>
    <n v="50478.8"/>
    <n v="100.99306488802728"/>
    <n v="101.84139999999999"/>
    <n v="1.7898724659992382"/>
  </r>
  <r>
    <s v="ZTFI-0167"/>
    <n v="100"/>
    <n v="9.8299999999999998E-2"/>
    <n v="8.9099999999999999E-2"/>
    <x v="164"/>
    <n v="5135.76"/>
    <n v="102.91752753400077"/>
    <n v="104.70740000000001"/>
    <n v="0.85807906368182785"/>
  </r>
  <r>
    <s v="ZTFI-0168"/>
    <n v="100"/>
    <n v="9.6299999999999997E-2"/>
    <n v="9.9900000000000003E-2"/>
    <x v="165"/>
    <n v="9840.42"/>
    <n v="98.400320936318167"/>
    <n v="99.258399999999995"/>
    <n v="1.0410687888121544"/>
  </r>
  <r>
    <s v="ZTFI-0169"/>
    <n v="100"/>
    <n v="9.9000000000000005E-2"/>
    <n v="8.7599999999999997E-2"/>
    <x v="166"/>
    <n v="5102.53"/>
    <n v="102.31253121118785"/>
    <n v="103.3536"/>
    <n v="2.2854885740125752"/>
  </r>
  <r>
    <s v="ZTFI-0170"/>
    <n v="100"/>
    <n v="9.9199999999999997E-2"/>
    <n v="9.4899999999999998E-2"/>
    <x v="167"/>
    <n v="100401.2"/>
    <n v="100.53581142598742"/>
    <n v="102.82129999999999"/>
    <n v="2.2894420299829079"/>
  </r>
  <r>
    <s v="ZTFI-0171"/>
    <n v="100"/>
    <n v="9.4700000000000006E-2"/>
    <n v="9.5899999999999999E-2"/>
    <x v="168"/>
    <n v="199387"/>
    <n v="99.689157970017092"/>
    <n v="101.9786"/>
    <n v="1.0953770181763218"/>
  </r>
  <r>
    <s v="ZTFI-0172"/>
    <n v="100"/>
    <n v="8.6900000000000005E-2"/>
    <n v="9.8299999999999998E-2"/>
    <x v="169"/>
    <n v="4876.32"/>
    <n v="97.160422981823672"/>
    <n v="98.255799999999994"/>
    <n v="1.4547193212257952"/>
  </r>
  <r>
    <s v="ZTFI-0173"/>
    <n v="100"/>
    <n v="9.9400000000000002E-2"/>
    <n v="9.0700000000000003E-2"/>
    <x v="170"/>
    <n v="101907.8"/>
    <n v="101.88958067877421"/>
    <n v="103.3443"/>
    <n v="1.7938357694291511"/>
  </r>
  <r>
    <s v="ZTFI-0174"/>
    <n v="100"/>
    <n v="9.4600000000000004E-2"/>
    <n v="9.9699999999999997E-2"/>
    <x v="138"/>
    <n v="19951.419999999998"/>
    <n v="99.629464230570846"/>
    <n v="101.4233"/>
    <n v="0.12081851542185973"/>
  </r>
  <r>
    <s v="ZTFI-0175"/>
    <n v="100"/>
    <n v="8.5300000000000001E-2"/>
    <n v="8.6400000000000005E-2"/>
    <x v="171"/>
    <n v="49878.65"/>
    <n v="99.752681484578147"/>
    <n v="99.873500000000007"/>
    <n v="0.88911399154321202"/>
  </r>
  <r>
    <s v="ZTFI-0176"/>
    <n v="100"/>
    <n v="8.9499999999999996E-2"/>
    <n v="9.0999999999999998E-2"/>
    <x v="172"/>
    <n v="49929.8"/>
    <n v="99.837586008456782"/>
    <n v="100.72669999999999"/>
    <n v="0.64550378494662652"/>
  </r>
  <r>
    <s v="ZTFI-0177"/>
    <n v="100"/>
    <n v="8.1199999999999994E-2"/>
    <n v="8.6300000000000002E-2"/>
    <x v="173"/>
    <n v="19816.240000000002"/>
    <n v="98.897596215053369"/>
    <n v="99.543099999999995"/>
    <n v="2.4251496741344738"/>
  </r>
  <r>
    <s v="ZTFI-0178"/>
    <n v="100"/>
    <n v="0.09"/>
    <n v="9.5200000000000007E-2"/>
    <x v="174"/>
    <n v="99514.9"/>
    <n v="99.30455032586552"/>
    <n v="101.72969999999999"/>
    <n v="1.1490679055969224"/>
  </r>
  <r>
    <s v="ZTFI-0179"/>
    <n v="100"/>
    <n v="9.11E-2"/>
    <n v="8.9099999999999999E-2"/>
    <x v="175"/>
    <n v="50295.1"/>
    <n v="100.63123209440307"/>
    <n v="101.7803"/>
    <n v="0.15102925813951629"/>
  </r>
  <r>
    <s v="ZTFI-0180"/>
    <n v="100"/>
    <n v="9.7299999999999998E-2"/>
    <n v="8.8999999999999996E-2"/>
    <x v="176"/>
    <n v="200794.6"/>
    <n v="100.66517074186048"/>
    <n v="100.81619999999999"/>
    <n v="0.47105308314959871"/>
  </r>
  <r>
    <s v="ZTFI-0181"/>
    <n v="100"/>
    <n v="8.0399999999999999E-2"/>
    <n v="9.7600000000000006E-2"/>
    <x v="177"/>
    <n v="481321.5"/>
    <n v="96.251446916850398"/>
    <n v="96.722499999999997"/>
    <n v="1.6472476331788641"/>
  </r>
  <r>
    <s v="ZTFI-0182"/>
    <n v="100"/>
    <n v="9.7299999999999998E-2"/>
    <n v="8.7400000000000005E-2"/>
    <x v="178"/>
    <n v="20094.86"/>
    <n v="100.89785236682114"/>
    <n v="102.54510000000001"/>
    <n v="1.0656617647235151"/>
  </r>
  <r>
    <s v="ZTFI-0183"/>
    <n v="100"/>
    <n v="9.6500000000000002E-2"/>
    <n v="9.8799999999999999E-2"/>
    <x v="179"/>
    <n v="198666.2"/>
    <n v="99.343638235276487"/>
    <n v="100.4093"/>
    <n v="2.3243606182453078"/>
  </r>
  <r>
    <s v="ZTFI-0184"/>
    <n v="100"/>
    <n v="9.7100000000000006E-2"/>
    <n v="8.8099999999999998E-2"/>
    <x v="180"/>
    <n v="207154.8"/>
    <n v="103.60073938175469"/>
    <n v="105.9251"/>
    <n v="9.5805538862549611E-2"/>
  </r>
  <r>
    <s v="ZTFI-0185"/>
    <n v="100"/>
    <n v="9.7000000000000003E-2"/>
    <n v="9.1999999999999998E-2"/>
    <x v="181"/>
    <n v="202570.6"/>
    <n v="101.43759446113745"/>
    <n v="101.5334"/>
    <n v="0.53120594220298756"/>
  </r>
  <r>
    <s v="ZTFI-0186"/>
    <n v="100"/>
    <n v="8.3000000000000004E-2"/>
    <n v="9.7100000000000006E-2"/>
    <x v="109"/>
    <n v="496638"/>
    <n v="99.086794057797007"/>
    <n v="99.617999999999995"/>
    <n v="2.0712301083682974"/>
  </r>
  <r>
    <s v="ZTFI-0187"/>
    <n v="100"/>
    <n v="9.3700000000000006E-2"/>
    <n v="9.8599999999999993E-2"/>
    <x v="182"/>
    <n v="198663.8"/>
    <n v="99.229869891631708"/>
    <n v="101.30110000000001"/>
    <n v="0.33053095045363534"/>
  </r>
  <r>
    <s v="ZTFI-0188"/>
    <n v="100"/>
    <n v="9.4899999999999998E-2"/>
    <n v="9.8299999999999998E-2"/>
    <x v="183"/>
    <n v="19879.2"/>
    <n v="99.344869049546361"/>
    <n v="99.675399999999996"/>
    <n v="1.8304550917445255"/>
  </r>
  <r>
    <s v="ZTFI-0189"/>
    <n v="100"/>
    <n v="9.98E-2"/>
    <n v="9.35E-2"/>
    <x v="184"/>
    <n v="50562.75"/>
    <n v="101.23854490825548"/>
    <n v="103.069"/>
    <n v="6.1751870645082363E-2"/>
  </r>
  <r>
    <s v="ZTFI-0190"/>
    <n v="100"/>
    <n v="8.9800000000000005E-2"/>
    <n v="9.1499999999999998E-2"/>
    <x v="185"/>
    <n v="49920.5"/>
    <n v="99.789748129354919"/>
    <n v="99.851500000000001"/>
    <n v="1.4959349242972735"/>
  </r>
  <r>
    <s v="ZTFI-0191"/>
    <n v="100"/>
    <n v="8.2100000000000006E-2"/>
    <n v="8.7499999999999994E-2"/>
    <x v="186"/>
    <n v="494053"/>
    <n v="98.808565075702731"/>
    <n v="100.3045"/>
    <n v="0.85876373144043328"/>
  </r>
  <r>
    <s v="ZTFI-0192"/>
    <n v="100"/>
    <n v="9.4500000000000001E-2"/>
    <n v="8.5300000000000001E-2"/>
    <x v="187"/>
    <n v="101659.4"/>
    <n v="101.68703626855957"/>
    <n v="102.5458"/>
    <n v="1.1841300538278858"/>
  </r>
  <r>
    <s v="ZTFI-0193"/>
    <n v="100"/>
    <n v="8.9499999999999996E-2"/>
    <n v="9.5299999999999996E-2"/>
    <x v="188"/>
    <n v="4948.3"/>
    <n v="98.946069946172116"/>
    <n v="100.1302"/>
    <n v="2.1169174931879837"/>
  </r>
  <r>
    <s v="ZTFI-0194"/>
    <n v="100"/>
    <n v="9.5600000000000004E-2"/>
    <n v="9.0399999999999994E-2"/>
    <x v="141"/>
    <n v="50124.4"/>
    <n v="100.30768250681201"/>
    <n v="102.4246"/>
    <n v="1.9227035290986123"/>
  </r>
  <r>
    <s v="ZTFI-0195"/>
    <n v="100"/>
    <n v="9.4500000000000001E-2"/>
    <n v="9.4700000000000006E-2"/>
    <x v="189"/>
    <n v="49995.25"/>
    <n v="99.988896470901395"/>
    <n v="101.91160000000001"/>
    <n v="2.3472859838856408"/>
  </r>
  <r>
    <s v="ZTFI-0196"/>
    <n v="100"/>
    <n v="9.7900000000000001E-2"/>
    <n v="9.6000000000000002E-2"/>
    <x v="190"/>
    <n v="20123.8"/>
    <n v="100.62701401611436"/>
    <n v="102.9743"/>
    <n v="1.9626396498018295"/>
  </r>
  <r>
    <s v="ZTFI-0197"/>
    <n v="100"/>
    <n v="8.9700000000000002E-2"/>
    <n v="8.77E-2"/>
    <x v="191"/>
    <n v="50179.85"/>
    <n v="100.37036035019817"/>
    <n v="102.333"/>
    <n v="0.22648977438757356"/>
  </r>
  <r>
    <s v="ZTFI-0198"/>
    <n v="100"/>
    <n v="9.4500000000000001E-2"/>
    <n v="9.5000000000000001E-2"/>
    <x v="192"/>
    <n v="19995.22"/>
    <n v="99.974610225612423"/>
    <n v="100.2011"/>
    <n v="0.75695050556058163"/>
  </r>
  <r>
    <s v="ZTFI-0199"/>
    <n v="100"/>
    <n v="9.74E-2"/>
    <n v="8.9800000000000005E-2"/>
    <x v="193"/>
    <n v="20072.740000000002"/>
    <n v="100.52874949443942"/>
    <n v="101.28570000000001"/>
    <n v="0.55737342378792221"/>
  </r>
  <r>
    <s v="ZTFI-0200"/>
    <n v="100"/>
    <n v="9.11E-2"/>
    <n v="9.69E-2"/>
    <x v="194"/>
    <n v="99723.4"/>
    <n v="99.637126576212083"/>
    <n v="100.19450000000001"/>
    <n v="0.61876436470041085"/>
  </r>
  <r>
    <s v="ZTFI-0201"/>
    <n v="100"/>
    <n v="9.2899999999999996E-2"/>
    <n v="0.10390000000000001"/>
    <x v="173"/>
    <n v="196117"/>
    <n v="97.686635635299595"/>
    <n v="98.305400000000006"/>
    <n v="1.6229397700507064"/>
  </r>
  <r>
    <s v="ZTFI-0202"/>
    <n v="100"/>
    <n v="0.1147"/>
    <n v="9.7699999999999995E-2"/>
    <x v="195"/>
    <n v="50791.55"/>
    <n v="101.6485602299493"/>
    <n v="103.2715"/>
    <n v="2.6228094347545294"/>
  </r>
  <r>
    <s v="ZTFI-0203"/>
    <n v="100"/>
    <n v="9.5200000000000007E-2"/>
    <n v="0.1114"/>
    <x v="196"/>
    <n v="97165.4"/>
    <n v="96.873790565245471"/>
    <n v="99.496600000000001"/>
    <n v="1.975758114706835"/>
  </r>
  <r>
    <s v="ZTFI-0204"/>
    <n v="100"/>
    <n v="0.1114"/>
    <n v="0.1106"/>
    <x v="197"/>
    <n v="20028.02"/>
    <n v="100.14284188529317"/>
    <n v="102.1186"/>
    <n v="-0.13871854703542397"/>
  </r>
  <r>
    <s v="ZTFI-0205"/>
    <n v="100"/>
    <n v="0.1142"/>
    <n v="9.8599999999999993E-2"/>
    <x v="198"/>
    <n v="202903.6"/>
    <n v="102.05001854703542"/>
    <n v="101.9113"/>
    <n v="1.0643951929477851"/>
  </r>
  <r>
    <s v="ZTFI-0206"/>
    <n v="100"/>
    <n v="0.1123"/>
    <n v="0.11459999999999999"/>
    <x v="199"/>
    <n v="496759"/>
    <n v="99.35870480705222"/>
    <n v="100.42310000000001"/>
    <n v="1.0328503438500718"/>
  </r>
  <r>
    <s v="ZTFI-0207"/>
    <n v="100"/>
    <n v="0.1133"/>
    <n v="9.9400000000000002E-2"/>
    <x v="200"/>
    <n v="203787.4"/>
    <n v="102.31634965614992"/>
    <n v="103.3492"/>
    <n v="1.1242972959958735"/>
  </r>
  <r>
    <s v="ZTFI-0208"/>
    <n v="100"/>
    <n v="9.1200000000000003E-2"/>
    <n v="0.1143"/>
    <x v="201"/>
    <n v="193792.6"/>
    <n v="96.588402704004125"/>
    <n v="97.712699999999998"/>
    <n v="1.2326541940189344"/>
  </r>
  <r>
    <s v="ZTFI-0209"/>
    <n v="100"/>
    <n v="9.6600000000000005E-2"/>
    <n v="0.1033"/>
    <x v="202"/>
    <n v="19875.72"/>
    <n v="99.29274580598107"/>
    <n v="100.5254"/>
    <n v="1.3328361198901604"/>
  </r>
  <r>
    <s v="ZTFI-0210"/>
    <n v="100"/>
    <n v="0.1062"/>
    <n v="0.1079"/>
    <x v="203"/>
    <n v="497870"/>
    <n v="99.533663880109842"/>
    <n v="100.8665"/>
    <n v="2.0666939143778222"/>
  </r>
  <r>
    <s v="ZTFI-0211"/>
    <n v="100"/>
    <n v="0.11509999999999999"/>
    <n v="0.11260000000000001"/>
    <x v="204"/>
    <n v="200460.79999999999"/>
    <n v="100.31290608562217"/>
    <n v="102.3796"/>
    <n v="0.19478024125206161"/>
  </r>
  <r>
    <s v="ZTFI-0212"/>
    <n v="100"/>
    <n v="0.11459999999999999"/>
    <n v="0.10630000000000001"/>
    <x v="32"/>
    <n v="50730.45"/>
    <n v="101.60501975874794"/>
    <n v="101.7998"/>
    <n v="2.3238412967063624"/>
  </r>
  <r>
    <s v="ZTFI-0213"/>
    <n v="100"/>
    <n v="9.8400000000000001E-2"/>
    <n v="0.11559999999999999"/>
    <x v="205"/>
    <n v="4817.78"/>
    <n v="95.868758703293636"/>
    <n v="98.192599999999999"/>
    <n v="2.3364820121971519"/>
  </r>
  <r>
    <s v="ZTFI-0214"/>
    <n v="100"/>
    <n v="0.1018"/>
    <n v="0.1137"/>
    <x v="206"/>
    <n v="197808.6"/>
    <n v="98.734817987802842"/>
    <n v="101.07129999999999"/>
    <n v="1.6953320583101714"/>
  </r>
  <r>
    <s v="ZTFI-0215"/>
    <n v="100"/>
    <n v="9.2200000000000004E-2"/>
    <n v="9.9900000000000003E-2"/>
    <x v="207"/>
    <n v="99284.1"/>
    <n v="99.136067941689831"/>
    <n v="100.8314"/>
    <n v="1.9560753760476217"/>
  </r>
  <r>
    <s v="ZTFI-0216"/>
    <n v="100"/>
    <n v="0.107"/>
    <n v="0.11899999999999999"/>
    <x v="208"/>
    <n v="9889.92"/>
    <n v="98.848224623952376"/>
    <n v="100.8043"/>
    <n v="0.30099421136952742"/>
  </r>
  <r>
    <s v="ZTFI-0217"/>
    <n v="100"/>
    <n v="0.1094"/>
    <n v="0.11650000000000001"/>
    <x v="209"/>
    <n v="9966.4500000000007"/>
    <n v="99.572605788630469"/>
    <n v="99.873599999999996"/>
    <n v="0.91685087780608399"/>
  </r>
  <r>
    <s v="ZTFI-0218"/>
    <n v="100"/>
    <n v="0.1096"/>
    <n v="0.10059999999999999"/>
    <x v="210"/>
    <n v="506124"/>
    <n v="101.39514912219391"/>
    <n v="102.312"/>
    <n v="2.1136714303286936"/>
  </r>
  <r>
    <s v="ZTFI-0219"/>
    <n v="100"/>
    <n v="9.7000000000000003E-2"/>
    <n v="9.6100000000000005E-2"/>
    <x v="211"/>
    <n v="10016.030000000001"/>
    <n v="100.18442856967131"/>
    <n v="102.29810000000001"/>
    <n v="1.1767667028066171"/>
  </r>
  <r>
    <s v="ZTFI-0220"/>
    <n v="100"/>
    <n v="0.1076"/>
    <n v="0.10440000000000001"/>
    <x v="212"/>
    <n v="10015.209999999999"/>
    <n v="100.28503329719338"/>
    <n v="101.4618"/>
    <n v="0.14226459675595038"/>
  </r>
  <r>
    <s v="ZTFI-0221"/>
    <n v="100"/>
    <n v="2.63E-2"/>
    <n v="4.3999999999999997E-2"/>
    <x v="213"/>
    <n v="381746.97"/>
    <n v="91.445635403244054"/>
    <n v="91.587900000000005"/>
    <n v="0.6589800955659797"/>
  </r>
  <r>
    <s v="ZTFI-0222"/>
    <n v="100"/>
    <n v="2.1299999999999999E-2"/>
    <n v="3.9300000000000002E-2"/>
    <x v="214"/>
    <n v="70671.06"/>
    <n v="84.28151990443402"/>
    <n v="84.9405"/>
    <n v="0.32331862572664249"/>
  </r>
  <r>
    <s v="ZTFI-0223"/>
    <n v="100"/>
    <n v="2.6499999999999999E-2"/>
    <n v="4.6699999999999998E-2"/>
    <x v="215"/>
    <n v="7476.59"/>
    <n v="89.484181374273362"/>
    <n v="89.807500000000005"/>
    <n v="0.99752158412289305"/>
  </r>
  <r>
    <s v="ZTFI-0224"/>
    <n v="100"/>
    <n v="2.2100000000000002E-2"/>
    <n v="3.9100000000000003E-2"/>
    <x v="216"/>
    <n v="7383.07"/>
    <n v="87.922578415877112"/>
    <n v="88.920100000000005"/>
    <n v="-8.9216955556707944E-3"/>
  </r>
  <r>
    <s v="ZTFI-0225"/>
    <n v="100"/>
    <n v="4.2599999999999999E-2"/>
    <n v="3.9300000000000002E-2"/>
    <x v="217"/>
    <n v="84025.21"/>
    <n v="100.63902169555567"/>
    <n v="100.6301"/>
    <n v="0.23070347256958712"/>
  </r>
  <r>
    <s v="ZTFI-0226"/>
    <n v="100"/>
    <n v="3.7699999999999997E-2"/>
    <n v="4.6399999999999997E-2"/>
    <x v="218"/>
    <n v="77296.789999999994"/>
    <n v="92.466096527430409"/>
    <n v="92.696799999999996"/>
    <n v="0.45551634906153993"/>
  </r>
  <r>
    <s v="ZTFI-0227"/>
    <n v="100"/>
    <n v="3.73E-2"/>
    <n v="4.1799999999999997E-2"/>
    <x v="219"/>
    <n v="8279.02"/>
    <n v="98.984183650938462"/>
    <n v="99.439700000000002"/>
    <n v="0.46837949803560264"/>
  </r>
  <r>
    <s v="ZTFI-0228"/>
    <n v="100"/>
    <n v="3.8399999999999997E-2"/>
    <n v="0.04"/>
    <x v="220"/>
    <n v="81897.63"/>
    <n v="98.075720501964398"/>
    <n v="98.5441"/>
    <n v="0.46412370834416095"/>
  </r>
  <r>
    <s v="ZTFI-0229"/>
    <n v="100"/>
    <n v="4.24E-2"/>
    <n v="4.7500000000000001E-2"/>
    <x v="221"/>
    <n v="4098.18"/>
    <n v="98.122276291655837"/>
    <n v="98.586399999999998"/>
    <n v="0.45803454377222863"/>
  </r>
  <r>
    <s v="ZTFI-0230"/>
    <n v="100"/>
    <n v="3.3099999999999997E-2"/>
    <n v="4.1700000000000001E-2"/>
    <x v="222"/>
    <n v="81811.63"/>
    <n v="97.83816545622777"/>
    <n v="98.296199999999999"/>
    <n v="0.50911196441545314"/>
  </r>
  <r>
    <s v="ZTFI-0231"/>
    <n v="100"/>
    <n v="4.5499999999999999E-2"/>
    <n v="3.9899999999999998E-2"/>
    <x v="223"/>
    <n v="447883.15"/>
    <n v="107.35498803558454"/>
    <n v="107.86409999999999"/>
    <n v="0.15030994967105471"/>
  </r>
  <r>
    <s v="ZTFI-0232"/>
    <n v="100"/>
    <n v="3.0599999999999999E-2"/>
    <n v="0.04"/>
    <x v="224"/>
    <n v="3908.64"/>
    <n v="93.520690050328952"/>
    <n v="93.671000000000006"/>
    <n v="0.44952476549762821"/>
  </r>
  <r>
    <s v="ZTFI-0233"/>
    <n v="100"/>
    <n v="3.3599999999999998E-2"/>
    <n v="4.0599999999999997E-2"/>
    <x v="225"/>
    <n v="40207.75"/>
    <n v="96.325075234502378"/>
    <n v="96.774600000000007"/>
    <n v="1.2534303808937466"/>
  </r>
  <r>
    <s v="ZTFI-0234"/>
    <n v="100"/>
    <n v="3.4500000000000003E-2"/>
    <n v="4.7600000000000003E-2"/>
    <x v="226"/>
    <n v="40717.94"/>
    <n v="97.048669619106249"/>
    <n v="98.302099999999996"/>
    <n v="0.74139350489923572"/>
  </r>
  <r>
    <s v="ZTFI-0235"/>
    <n v="100"/>
    <n v="3.5499999999999997E-2"/>
    <n v="4.0599999999999997E-2"/>
    <x v="227"/>
    <n v="16658.25"/>
    <n v="99.606606495100763"/>
    <n v="100.348"/>
    <n v="0.93699212746119542"/>
  </r>
  <r>
    <s v="ZTFI-0236"/>
    <n v="100"/>
    <n v="4.8399999999999999E-2"/>
    <n v="3.9899999999999998E-2"/>
    <x v="228"/>
    <n v="177645.41"/>
    <n v="106.32730787253881"/>
    <n v="107.26430000000001"/>
    <n v="1.7182418772705432E-2"/>
  </r>
  <r>
    <s v="ZTFI-0237"/>
    <n v="100"/>
    <n v="4.0300000000000002E-2"/>
    <n v="3.8100000000000002E-2"/>
    <x v="229"/>
    <n v="427921.64"/>
    <n v="102.5215175812273"/>
    <n v="102.53870000000001"/>
    <n v="0.73836763985794107"/>
  </r>
  <r>
    <s v="ZTFI-0238"/>
    <n v="100"/>
    <n v="3.1899999999999998E-2"/>
    <n v="3.85E-2"/>
    <x v="230"/>
    <n v="383356.85"/>
    <n v="91.832932360142053"/>
    <n v="92.571299999999994"/>
    <n v="0.59025327085774393"/>
  </r>
  <r>
    <s v="ZTFI-0239"/>
    <n v="100"/>
    <n v="2.0400000000000001E-2"/>
    <n v="3.9E-2"/>
    <x v="231"/>
    <n v="15429.13"/>
    <n v="91.933146729142251"/>
    <n v="92.523399999999995"/>
    <n v="0.39132533241000544"/>
  </r>
  <r>
    <s v="ZTFI-0240"/>
    <n v="100"/>
    <n v="3.2599999999999997E-2"/>
    <n v="4.65E-2"/>
    <x v="232"/>
    <n v="13699.01"/>
    <n v="82.102374667589999"/>
    <n v="82.493700000000004"/>
    <n v="0.40871979324350605"/>
  </r>
  <r>
    <s v="ZTFI-0241"/>
    <n v="100"/>
    <n v="4.4200000000000003E-2"/>
    <n v="3.9300000000000002E-2"/>
    <x v="233"/>
    <n v="424129.07"/>
    <n v="101.76918020675649"/>
    <n v="102.17789999999999"/>
    <n v="0.38951456572982579"/>
  </r>
  <r>
    <s v="ZTFI-0242"/>
    <n v="100"/>
    <n v="2.6499999999999999E-2"/>
    <n v="4.4299999999999999E-2"/>
    <x v="234"/>
    <n v="38449.25"/>
    <n v="91.877285434270178"/>
    <n v="92.266800000000003"/>
    <n v="0.29763805044946423"/>
  </r>
  <r>
    <s v="ZTFI-0243"/>
    <n v="100"/>
    <n v="3.73E-2"/>
    <n v="3.9699999999999999E-2"/>
    <x v="235"/>
    <n v="408007.72"/>
    <n v="97.731961949550538"/>
    <n v="98.029600000000002"/>
    <n v="0.20833851950057181"/>
  </r>
  <r>
    <s v="ZTFI-0244"/>
    <n v="100"/>
    <n v="3.8899999999999997E-2"/>
    <n v="4.7100000000000003E-2"/>
    <x v="236"/>
    <n v="3835.99"/>
    <n v="91.890261480499433"/>
    <n v="92.098600000000005"/>
    <n v="0.99756477171385427"/>
  </r>
  <r>
    <s v="ZTFI-0245"/>
    <n v="100"/>
    <n v="3.2399999999999998E-2"/>
    <n v="3.9300000000000002E-2"/>
    <x v="237"/>
    <n v="8294.06"/>
    <n v="99.094035228286145"/>
    <n v="100.0916"/>
    <n v="-2.4580952110071053E-2"/>
  </r>
  <r>
    <s v="ZTFI-0246"/>
    <n v="100"/>
    <n v="4.3099999999999999E-2"/>
    <n v="3.8800000000000001E-2"/>
    <x v="238"/>
    <n v="17080.759999999998"/>
    <n v="102.39748095211007"/>
    <n v="102.3729"/>
    <n v="0.74376029043840219"/>
  </r>
  <r>
    <s v="ZTFI-0247"/>
    <n v="100"/>
    <n v="2.1100000000000001E-2"/>
    <n v="4.1300000000000003E-2"/>
    <x v="239"/>
    <n v="40146.800000000003"/>
    <n v="95.875939709561592"/>
    <n v="96.619699999999995"/>
    <n v="0.77567290479537121"/>
  </r>
  <r>
    <s v="ZTFI-0248"/>
    <n v="100"/>
    <n v="3.5700000000000003E-2"/>
    <n v="4.7100000000000003E-2"/>
    <x v="240"/>
    <n v="37034.75"/>
    <n v="88.649127095204634"/>
    <n v="89.424800000000005"/>
    <n v="0.50119610170017381"/>
  </r>
  <r>
    <s v="ZTFI-0249"/>
    <n v="100"/>
    <n v="3.0300000000000001E-2"/>
    <n v="4.4900000000000002E-2"/>
    <x v="241"/>
    <n v="37482.32"/>
    <n v="89.637703898299833"/>
    <n v="90.138900000000007"/>
    <n v="0.2805660749188803"/>
  </r>
  <r>
    <s v="ZTFI-0250"/>
    <n v="100"/>
    <n v="3.3099999999999997E-2"/>
    <n v="4.5400000000000003E-2"/>
    <x v="242"/>
    <n v="38699.75"/>
    <n v="92.596133925081119"/>
    <n v="92.8767"/>
    <n v="0.28113146956665958"/>
  </r>
  <r>
    <s v="ZTFI-0251"/>
    <n v="100"/>
    <n v="3.9899999999999998E-2"/>
    <n v="4.0899999999999999E-2"/>
    <x v="243"/>
    <n v="52343.31"/>
    <n v="99.502268530433341"/>
    <n v="99.7834"/>
    <n v="0.20462187521420105"/>
  </r>
  <r>
    <s v="ZTFI-0252"/>
    <n v="100"/>
    <n v="1.9400000000000001E-2"/>
    <n v="4.0099999999999997E-2"/>
    <x v="244"/>
    <n v="3927.12"/>
    <n v="74.698078124785795"/>
    <n v="74.902699999999996"/>
    <n v="2.3005574118641903E-2"/>
  </r>
  <r>
    <s v="ZTFI-0253"/>
    <n v="100"/>
    <n v="1.9300000000000001E-2"/>
    <n v="4.3799999999999999E-2"/>
    <x v="245"/>
    <n v="8059.37"/>
    <n v="76.70649442588136"/>
    <n v="76.729500000000002"/>
    <n v="0.31522026917423318"/>
  </r>
  <r>
    <s v="ZTFI-0254"/>
    <n v="100"/>
    <n v="2.8199999999999999E-2"/>
    <n v="4.5499999999999999E-2"/>
    <x v="246"/>
    <n v="19722.900000000001"/>
    <n v="93.534479730825765"/>
    <n v="93.849699999999999"/>
    <n v="0.59268166299992231"/>
  </r>
  <r>
    <s v="ZTFI-0255"/>
    <n v="100"/>
    <n v="4.41E-2"/>
    <n v="4.2599999999999999E-2"/>
    <x v="247"/>
    <n v="10564.18"/>
    <n v="100.47021833700008"/>
    <n v="101.0629"/>
    <n v="1.1172178424856156"/>
  </r>
  <r>
    <s v="ZTFI-0256"/>
    <n v="100"/>
    <n v="1.55E-2"/>
    <n v="4.2700000000000002E-2"/>
    <x v="248"/>
    <n v="512137.8"/>
    <n v="96.270682157514386"/>
    <n v="97.387900000000002"/>
    <n v="0.64604201805182981"/>
  </r>
  <r>
    <s v="ZTFI-0257"/>
    <n v="100"/>
    <n v="1.0699999999999999E-2"/>
    <n v="4.1099999999999998E-2"/>
    <x v="249"/>
    <n v="4122.79"/>
    <n v="77.846857981948176"/>
    <n v="78.492900000000006"/>
    <n v="0.49979041205536134"/>
  </r>
  <r>
    <s v="ZTFI-0258"/>
    <n v="100"/>
    <n v="4.0399999999999998E-2"/>
    <n v="4.4400000000000002E-2"/>
    <x v="250"/>
    <n v="5134.8100000000004"/>
    <n v="97.569909587944636"/>
    <n v="98.069699999999997"/>
    <n v="0.27406461052684961"/>
  </r>
  <r>
    <s v="ZTFI-0259"/>
    <n v="100"/>
    <n v="3.7199999999999997E-2"/>
    <n v="4.0500000000000001E-2"/>
    <x v="251"/>
    <n v="103504.18"/>
    <n v="98.290035389473147"/>
    <n v="98.564099999999996"/>
    <n v="0.33321734116513824"/>
  </r>
  <r>
    <s v="ZTFI-0260"/>
    <n v="100"/>
    <n v="3.3099999999999997E-2"/>
    <n v="4.1000000000000002E-2"/>
    <x v="252"/>
    <n v="523964.38"/>
    <n v="99.368282658834858"/>
    <n v="99.701499999999996"/>
    <n v="0.51538178057579387"/>
  </r>
  <r>
    <s v="ZTFI-0261"/>
    <n v="100"/>
    <n v="2.2800000000000001E-2"/>
    <n v="4.0099999999999997E-2"/>
    <x v="253"/>
    <n v="9032.4699999999993"/>
    <n v="85.876618219424202"/>
    <n v="86.391999999999996"/>
    <n v="1.3934207244610235"/>
  </r>
  <r>
    <s v="ZTFI-0262"/>
    <n v="100"/>
    <n v="1.14E-2"/>
    <n v="4.0599999999999997E-2"/>
    <x v="254"/>
    <n v="10369.56"/>
    <n v="97.203279275538975"/>
    <n v="98.596699999999998"/>
    <n v="1.1974104850715293"/>
  </r>
  <r>
    <s v="ZTFI-0263"/>
    <n v="100"/>
    <n v="2.4500000000000001E-2"/>
    <n v="4.4600000000000001E-2"/>
    <x v="255"/>
    <n v="206308.77"/>
    <n v="97.265389514928472"/>
    <n v="98.462800000000001"/>
    <n v="0.46049914509978862"/>
  </r>
  <r>
    <s v="ZTFI-0264"/>
    <n v="100"/>
    <n v="4.2700000000000002E-2"/>
    <n v="4.7899999999999998E-2"/>
    <x v="256"/>
    <n v="19472.52"/>
    <n v="92.52790085490021"/>
    <n v="92.988399999999999"/>
    <n v="0.62773615491961721"/>
  </r>
  <r>
    <s v="ZTFI-0265"/>
    <n v="100"/>
    <n v="4.3700000000000003E-2"/>
    <n v="0.04"/>
    <x v="257"/>
    <n v="5288.4"/>
    <n v="100.55666384508038"/>
    <n v="101.1844"/>
    <n v="0.18258554595576015"/>
  </r>
  <r>
    <s v="ZTFI-0266"/>
    <n v="100"/>
    <n v="1.89E-2"/>
    <n v="2.53E-2"/>
    <x v="258"/>
    <n v="16561.919999999998"/>
    <n v="91.144514454044241"/>
    <n v="91.327100000000002"/>
    <n v="0.58752273752682527"/>
  </r>
  <r>
    <s v="ZTFI-0267"/>
    <n v="100"/>
    <n v="2.4799999999999999E-2"/>
    <n v="3.1300000000000001E-2"/>
    <x v="259"/>
    <n v="177715.58"/>
    <n v="97.836177262473171"/>
    <n v="98.423699999999997"/>
    <n v="0.42195016575175259"/>
  </r>
  <r>
    <s v="ZTFI-0268"/>
    <n v="100"/>
    <n v="2.6700000000000002E-2"/>
    <n v="3.09E-2"/>
    <x v="260"/>
    <n v="4494.6000000000004"/>
    <n v="98.997049834248244"/>
    <n v="99.418999999999997"/>
    <n v="0.54257412580096798"/>
  </r>
  <r>
    <s v="ZTFI-0269"/>
    <n v="100"/>
    <n v="8.8000000000000005E-3"/>
    <n v="2.7799999999999998E-2"/>
    <x v="261"/>
    <n v="36959.230000000003"/>
    <n v="80.991925874199026"/>
    <n v="81.534499999999994"/>
    <n v="0.42960608607390327"/>
  </r>
  <r>
    <s v="ZTFI-0270"/>
    <n v="100"/>
    <n v="2.3599999999999999E-2"/>
    <n v="2.5600000000000001E-2"/>
    <x v="262"/>
    <n v="88867.78"/>
    <n v="97.854193913926096"/>
    <n v="98.283799999999999"/>
    <n v="0.30607702625464128"/>
  </r>
  <r>
    <s v="ZTFI-0271"/>
    <n v="100"/>
    <n v="1.12E-2"/>
    <n v="2.8000000000000001E-2"/>
    <x v="263"/>
    <n v="174283.34"/>
    <n v="95.689822973745365"/>
    <n v="95.995900000000006"/>
    <n v="3.4644840961405521E-2"/>
  </r>
  <r>
    <s v="ZTFI-0272"/>
    <n v="100"/>
    <n v="2.9700000000000001E-2"/>
    <n v="3.0599999999999999E-2"/>
    <x v="264"/>
    <n v="90192.55"/>
    <n v="99.329555159038591"/>
    <n v="99.364199999999997"/>
    <n v="0.42629726428583581"/>
  </r>
  <r>
    <s v="ZTFI-0273"/>
    <n v="100"/>
    <n v="5.3E-3"/>
    <n v="2.7099999999999999E-2"/>
    <x v="265"/>
    <n v="35677.14"/>
    <n v="78.185202735714171"/>
    <n v="78.611500000000007"/>
    <n v="0.51040707320822776"/>
  </r>
  <r>
    <s v="ZTFI-0274"/>
    <n v="100"/>
    <n v="1.9599999999999999E-2"/>
    <n v="2.6800000000000001E-2"/>
    <x v="266"/>
    <n v="4149.5600000000004"/>
    <n v="91.272792926791766"/>
    <n v="91.783199999999994"/>
    <n v="0.14871708854009569"/>
  </r>
  <r>
    <s v="ZTFI-0275"/>
    <n v="100"/>
    <n v="2.6700000000000002E-2"/>
    <n v="3.1899999999999998E-2"/>
    <x v="267"/>
    <n v="85061.440000000002"/>
    <n v="93.597782911459902"/>
    <n v="93.746499999999997"/>
    <n v="2.0604939504295317E-2"/>
  </r>
  <r>
    <s v="ZTFI-0276"/>
    <n v="100"/>
    <n v="6.0000000000000001E-3"/>
    <n v="2.8400000000000002E-2"/>
    <x v="268"/>
    <n v="137639.18"/>
    <n v="75.823995060495704"/>
    <n v="75.8446"/>
    <n v="0.5706435711606872"/>
  </r>
  <r>
    <s v="ZTFI-0277"/>
    <n v="100"/>
    <n v="2.87E-2"/>
    <n v="3.1300000000000001E-2"/>
    <x v="269"/>
    <n v="178652.63"/>
    <n v="98.32995642883931"/>
    <n v="98.900599999999997"/>
    <n v="0.43160841268425543"/>
  </r>
  <r>
    <s v="ZTFI-0278"/>
    <n v="100"/>
    <n v="8.3000000000000001E-3"/>
    <n v="2.8799999999999999E-2"/>
    <x v="270"/>
    <n v="318540.93"/>
    <n v="69.760291587315749"/>
    <n v="70.191900000000004"/>
    <n v="0.25981549486253641"/>
  </r>
  <r>
    <s v="ZTFI-0279"/>
    <n v="100"/>
    <n v="1.29E-2"/>
    <n v="2.52E-2"/>
    <x v="271"/>
    <n v="13804.32"/>
    <n v="75.887284505137458"/>
    <n v="76.147099999999995"/>
    <n v="9.8721808183512394E-2"/>
  </r>
  <r>
    <s v="ZTFI-0280"/>
    <n v="100"/>
    <n v="2.0400000000000001E-2"/>
    <n v="2.6599999999999999E-2"/>
    <x v="272"/>
    <n v="8505.24"/>
    <n v="93.580778191816492"/>
    <n v="93.679500000000004"/>
    <n v="0.30412790065641104"/>
  </r>
  <r>
    <s v="ZTFI-0281"/>
    <n v="100"/>
    <n v="2.8999999999999998E-3"/>
    <n v="9.1000000000000004E-3"/>
    <x v="273"/>
    <n v="27.07"/>
    <n v="96.446072099343596"/>
    <n v="96.750200000000007"/>
    <n v="0.18901566038211115"/>
  </r>
  <r>
    <s v="ZTFI-0282"/>
    <n v="100"/>
    <n v="7.0000000000000001E-3"/>
    <n v="1.24E-2"/>
    <x v="274"/>
    <n v="248.14"/>
    <n v="88.500784339617894"/>
    <n v="88.689800000000005"/>
    <n v="0.28727943808166856"/>
  </r>
  <r>
    <s v="ZTFI-0283"/>
    <n v="100"/>
    <n v="8.8000000000000005E-3"/>
    <n v="1.46E-2"/>
    <x v="275"/>
    <n v="54.14"/>
    <n v="96.480020561918337"/>
    <n v="96.767300000000006"/>
    <n v="0.26291868985516942"/>
  </r>
  <r>
    <s v="ZTFI-0284"/>
    <n v="100"/>
    <n v="1.26E-2"/>
    <n v="0.01"/>
    <x v="276"/>
    <n v="57.9"/>
    <n v="103.42128131014483"/>
    <n v="103.6842"/>
    <n v="0.46298658634651702"/>
  </r>
  <r>
    <s v="ZTFI-0285"/>
    <n v="100"/>
    <n v="2.3E-3"/>
    <n v="1.41E-2"/>
    <x v="164"/>
    <n v="2687.55"/>
    <n v="95.563213413653486"/>
    <n v="96.026200000000003"/>
    <n v="0.43279253644092819"/>
  </r>
  <r>
    <s v="ZTFI-0286"/>
    <n v="100"/>
    <n v="8.6999999999999994E-3"/>
    <n v="1.41E-2"/>
    <x v="277"/>
    <n v="558.5"/>
    <n v="99.486707463559071"/>
    <n v="99.919499999999999"/>
    <n v="0.25412630636988354"/>
  </r>
  <r>
    <s v="ZTFI-0287"/>
    <n v="100"/>
    <n v="1.3599999999999999E-2"/>
    <n v="1.2699999999999999E-2"/>
    <x v="278"/>
    <n v="28.17"/>
    <n v="100.63767369363012"/>
    <n v="100.8918"/>
    <n v="0.2202176748667739"/>
  </r>
  <r>
    <s v="ZTFI-0288"/>
    <n v="100"/>
    <n v="9.4000000000000004E-3"/>
    <n v="1.0500000000000001E-2"/>
    <x v="279"/>
    <n v="559.39"/>
    <n v="99.86338232513323"/>
    <n v="100.0836"/>
    <n v="0.17014493243127049"/>
  </r>
  <r>
    <s v="ZTFI-0289"/>
    <n v="100"/>
    <n v="5.1999999999999998E-3"/>
    <n v="9.1999999999999998E-3"/>
    <x v="280"/>
    <n v="55.34"/>
    <n v="98.685955067568727"/>
    <n v="98.856099999999998"/>
    <n v="0.25909822222787682"/>
  </r>
  <r>
    <s v="ZTFI-0290"/>
    <n v="100"/>
    <n v="1.1599999999999999E-2"/>
    <n v="7.9000000000000008E-3"/>
    <x v="281"/>
    <n v="59.74"/>
    <n v="106.66470177777212"/>
    <n v="106.9238"/>
    <n v="0.32497458419646819"/>
  </r>
  <r>
    <s v="ZTFI-0291"/>
    <n v="100"/>
    <n v="3.9699999999999999E-2"/>
    <n v="4.2200000000000001E-2"/>
    <x v="282"/>
    <n v="269905.75"/>
    <n v="99.372725415803529"/>
    <n v="99.697699999999998"/>
    <n v="0.25718896470598906"/>
  </r>
  <r>
    <s v="ZTFI-0292"/>
    <n v="100"/>
    <n v="3.4599999999999999E-2"/>
    <n v="3.9300000000000002E-2"/>
    <x v="283"/>
    <n v="53256.9"/>
    <n v="98.072811035294009"/>
    <n v="98.33"/>
    <n v="0.44881999492649527"/>
  </r>
  <r>
    <s v="ZTFI-0293"/>
    <n v="100"/>
    <n v="2.6700000000000002E-2"/>
    <n v="3.95E-2"/>
    <x v="284"/>
    <n v="105951.79"/>
    <n v="97.300780005073506"/>
    <n v="97.749600000000001"/>
    <n v="0.6407872445921754"/>
  </r>
  <r>
    <s v="ZTFI-0294"/>
    <n v="100"/>
    <n v="3.4500000000000003E-2"/>
    <n v="4.3799999999999999E-2"/>
    <x v="285"/>
    <n v="5405.56"/>
    <n v="99.195712755407826"/>
    <n v="99.836500000000001"/>
    <n v="0.55877742295240296"/>
  </r>
  <r>
    <s v="ZTFI-0295"/>
    <n v="100"/>
    <n v="3.8600000000000002E-2"/>
    <n v="4.0099999999999997E-2"/>
    <x v="286"/>
    <n v="108520.18"/>
    <n v="99.903422577047593"/>
    <n v="100.4622"/>
    <n v="0.72875052704469567"/>
  </r>
  <r>
    <s v="ZTFI-0296"/>
    <n v="100"/>
    <n v="3.2500000000000001E-2"/>
    <n v="4.2200000000000001E-2"/>
    <x v="287"/>
    <n v="4938.04"/>
    <n v="90.913749472955303"/>
    <n v="91.642499999999998"/>
    <n v="0.66065568603418967"/>
  </r>
  <r>
    <s v="ZTFI-0297"/>
    <n v="100"/>
    <n v="2.4299999999999999E-2"/>
    <n v="4.0599999999999997E-2"/>
    <x v="288"/>
    <n v="2534.7199999999998"/>
    <n v="93.251544313965809"/>
    <n v="93.912199999999999"/>
    <n v="0.17250128872260007"/>
  </r>
  <r>
    <s v="ZTFI-0298"/>
    <n v="100"/>
    <n v="3.5499999999999997E-2"/>
    <n v="3.8699999999999998E-2"/>
    <x v="172"/>
    <n v="54131.13"/>
    <n v="99.634398711277399"/>
    <n v="99.806899999999999"/>
    <n v="0.92890772449615611"/>
  </r>
  <r>
    <s v="ZTFI-0299"/>
    <n v="100"/>
    <n v="2.93E-2"/>
    <n v="4.3400000000000001E-2"/>
    <x v="289"/>
    <n v="107117.07"/>
    <n v="98.128792275503841"/>
    <n v="99.057699999999997"/>
    <n v="0.23833370681292365"/>
  </r>
  <r>
    <s v="ZTFI-0300"/>
    <n v="100"/>
    <n v="2.5499999999999998E-2"/>
    <n v="3.8100000000000002E-2"/>
    <x v="290"/>
    <n v="52682.95"/>
    <n v="96.849266293187071"/>
    <n v="97.087599999999995"/>
    <n v="0.23833370681292365"/>
  </r>
  <r>
    <m/>
    <m/>
    <m/>
    <m/>
    <x v="291"/>
    <m/>
    <m/>
    <m/>
    <m/>
  </r>
  <r>
    <m/>
    <m/>
    <m/>
    <m/>
    <x v="291"/>
    <m/>
    <m/>
    <s v="Average Price Difference"/>
    <n v="0.82976342373591738"/>
  </r>
  <r>
    <m/>
    <m/>
    <m/>
    <m/>
    <x v="291"/>
    <m/>
    <m/>
    <s v="Maximum Absolute Price Difference"/>
    <n v="2.6228094347545294"/>
  </r>
  <r>
    <m/>
    <m/>
    <m/>
    <m/>
    <x v="29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5C088-C66C-468D-AA06-844EBA1CC55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9">
    <pivotField showAll="0"/>
    <pivotField showAll="0"/>
    <pivotField showAll="0"/>
    <pivotField showAll="0"/>
    <pivotField axis="axisRow" showAll="0">
      <items count="11">
        <item h="1"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MarketValue_INR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C77A-D470-4FBB-BC49-3321A8E945E3}">
  <dimension ref="A1:I304"/>
  <sheetViews>
    <sheetView workbookViewId="0">
      <selection activeCell="Y1" sqref="Y1"/>
    </sheetView>
  </sheetViews>
  <sheetFormatPr defaultRowHeight="14.4" x14ac:dyDescent="0.3"/>
  <cols>
    <col min="3" max="3" width="11.109375" bestFit="1" customWidth="1"/>
    <col min="4" max="4" width="14.109375" bestFit="1" customWidth="1"/>
    <col min="5" max="5" width="14.6640625" bestFit="1" customWidth="1"/>
    <col min="6" max="6" width="15.5546875" bestFit="1" customWidth="1"/>
    <col min="7" max="7" width="14.109375" bestFit="1" customWidth="1"/>
    <col min="8" max="8" width="11.33203125" bestFit="1" customWidth="1"/>
    <col min="9" max="9" width="14.109375" bestFit="1" customWidth="1"/>
  </cols>
  <sheetData>
    <row r="1" spans="1:9" x14ac:dyDescent="0.3">
      <c r="A1" t="s">
        <v>0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1</v>
      </c>
      <c r="H1" t="s">
        <v>308</v>
      </c>
      <c r="I1" t="s">
        <v>2</v>
      </c>
    </row>
    <row r="2" spans="1:9" x14ac:dyDescent="0.3">
      <c r="A2" t="s">
        <v>3</v>
      </c>
      <c r="B2">
        <v>100</v>
      </c>
      <c r="C2">
        <v>6.2E-2</v>
      </c>
      <c r="D2">
        <v>6.7400000000000002E-2</v>
      </c>
      <c r="E2">
        <v>2.3134999999999999</v>
      </c>
      <c r="F2">
        <v>99005.2</v>
      </c>
      <c r="G2">
        <f>B2*(C2*((1-(1+D2)^(-E2))/D2)+(1+D2)^(-E2))</f>
        <v>98.877808003647715</v>
      </c>
      <c r="H2">
        <v>99.313400000000001</v>
      </c>
      <c r="I2">
        <f>H2-G2</f>
        <v>0.43559199635228651</v>
      </c>
    </row>
    <row r="3" spans="1:9" x14ac:dyDescent="0.3">
      <c r="A3" t="s">
        <v>4</v>
      </c>
      <c r="B3">
        <v>100</v>
      </c>
      <c r="C3">
        <v>7.7299999999999994E-2</v>
      </c>
      <c r="D3">
        <v>6.9000000000000006E-2</v>
      </c>
      <c r="E3">
        <v>21.004799999999999</v>
      </c>
      <c r="F3">
        <v>21826.94</v>
      </c>
      <c r="G3">
        <f t="shared" ref="G3:G66" si="0">B3*(C3*((1-(1+D3)^(-E3))/D3)+(1+D3)^(-E3))</f>
        <v>109.06716934099518</v>
      </c>
      <c r="H3">
        <v>110.3014</v>
      </c>
      <c r="I3">
        <f t="shared" ref="I3:I24" si="1">H3-G3</f>
        <v>1.2342306590048224</v>
      </c>
    </row>
    <row r="4" spans="1:9" x14ac:dyDescent="0.3">
      <c r="A4" t="s">
        <v>5</v>
      </c>
      <c r="B4">
        <v>100</v>
      </c>
      <c r="C4">
        <v>5.5500000000000001E-2</v>
      </c>
      <c r="D4">
        <v>6.7400000000000002E-2</v>
      </c>
      <c r="E4">
        <v>5.2675999999999998</v>
      </c>
      <c r="F4">
        <v>19003.8</v>
      </c>
      <c r="G4">
        <f t="shared" si="0"/>
        <v>94.866127576820546</v>
      </c>
      <c r="H4">
        <v>96.205799999999996</v>
      </c>
      <c r="I4">
        <f t="shared" si="1"/>
        <v>1.3396724231794508</v>
      </c>
    </row>
    <row r="5" spans="1:9" x14ac:dyDescent="0.3">
      <c r="A5" t="s">
        <v>6</v>
      </c>
      <c r="B5">
        <v>100</v>
      </c>
      <c r="C5">
        <v>6.8099999999999994E-2</v>
      </c>
      <c r="D5">
        <v>6.6699999999999995E-2</v>
      </c>
      <c r="E5">
        <v>24.9117</v>
      </c>
      <c r="F5">
        <v>50839.15</v>
      </c>
      <c r="G5">
        <f t="shared" si="0"/>
        <v>101.67878447351978</v>
      </c>
      <c r="H5">
        <v>103.2538</v>
      </c>
      <c r="I5">
        <f t="shared" si="1"/>
        <v>1.5750155264802146</v>
      </c>
    </row>
    <row r="6" spans="1:9" x14ac:dyDescent="0.3">
      <c r="A6" t="s">
        <v>7</v>
      </c>
      <c r="B6">
        <v>100</v>
      </c>
      <c r="C6">
        <v>7.4999999999999997E-2</v>
      </c>
      <c r="D6">
        <v>7.0199999999999999E-2</v>
      </c>
      <c r="E6">
        <v>18.406600000000001</v>
      </c>
      <c r="F6">
        <v>209725.4</v>
      </c>
      <c r="G6">
        <f t="shared" si="0"/>
        <v>104.87625892107766</v>
      </c>
      <c r="H6">
        <v>105.35939999999999</v>
      </c>
      <c r="I6">
        <f t="shared" si="1"/>
        <v>0.48314107892232983</v>
      </c>
    </row>
    <row r="7" spans="1:9" x14ac:dyDescent="0.3">
      <c r="A7" t="s">
        <v>8</v>
      </c>
      <c r="B7">
        <v>100</v>
      </c>
      <c r="C7">
        <v>6.4500000000000002E-2</v>
      </c>
      <c r="D7">
        <v>7.3999999999999996E-2</v>
      </c>
      <c r="E7">
        <v>1.9658</v>
      </c>
      <c r="F7">
        <v>9867.43</v>
      </c>
      <c r="G7">
        <f t="shared" si="0"/>
        <v>98.319065470130411</v>
      </c>
      <c r="H7">
        <v>99.951499999999996</v>
      </c>
      <c r="I7">
        <f t="shared" si="1"/>
        <v>1.6324345298695846</v>
      </c>
    </row>
    <row r="8" spans="1:9" x14ac:dyDescent="0.3">
      <c r="A8" t="s">
        <v>9</v>
      </c>
      <c r="B8">
        <v>100</v>
      </c>
      <c r="C8">
        <v>6.9400000000000003E-2</v>
      </c>
      <c r="D8">
        <v>7.3099999999999998E-2</v>
      </c>
      <c r="E8">
        <v>24.596900000000002</v>
      </c>
      <c r="F8">
        <v>19162.02</v>
      </c>
      <c r="G8">
        <f t="shared" si="0"/>
        <v>95.830986348475406</v>
      </c>
      <c r="H8">
        <v>96.564400000000006</v>
      </c>
      <c r="I8">
        <f t="shared" si="1"/>
        <v>0.73341365152460014</v>
      </c>
    </row>
    <row r="9" spans="1:9" x14ac:dyDescent="0.3">
      <c r="A9" t="s">
        <v>10</v>
      </c>
      <c r="B9">
        <v>100</v>
      </c>
      <c r="C9">
        <v>6.0699999999999997E-2</v>
      </c>
      <c r="D9">
        <v>7.3200000000000001E-2</v>
      </c>
      <c r="E9">
        <v>5.5632999999999999</v>
      </c>
      <c r="F9">
        <v>94422.9</v>
      </c>
      <c r="G9">
        <f t="shared" si="0"/>
        <v>94.450415008316526</v>
      </c>
      <c r="H9">
        <v>95.331800000000001</v>
      </c>
      <c r="I9">
        <f t="shared" si="1"/>
        <v>0.8813849916834755</v>
      </c>
    </row>
    <row r="10" spans="1:9" x14ac:dyDescent="0.3">
      <c r="A10" t="s">
        <v>11</v>
      </c>
      <c r="B10">
        <v>100</v>
      </c>
      <c r="C10">
        <v>7.3300000000000004E-2</v>
      </c>
      <c r="D10">
        <v>6.6299999999999998E-2</v>
      </c>
      <c r="E10">
        <v>24.380600000000001</v>
      </c>
      <c r="F10">
        <v>54175.7</v>
      </c>
      <c r="G10">
        <f t="shared" si="0"/>
        <v>108.3507367303677</v>
      </c>
      <c r="H10">
        <v>108.654</v>
      </c>
      <c r="I10">
        <f t="shared" si="1"/>
        <v>0.30326326963229633</v>
      </c>
    </row>
    <row r="11" spans="1:9" x14ac:dyDescent="0.3">
      <c r="A11" t="s">
        <v>12</v>
      </c>
      <c r="B11">
        <v>100</v>
      </c>
      <c r="C11">
        <v>5.6399999999999999E-2</v>
      </c>
      <c r="D11">
        <v>7.0800000000000002E-2</v>
      </c>
      <c r="E11">
        <v>22.182099999999998</v>
      </c>
      <c r="F11">
        <v>84062.2</v>
      </c>
      <c r="G11">
        <f t="shared" si="0"/>
        <v>84.121022161472609</v>
      </c>
      <c r="H11">
        <v>84.162300000000002</v>
      </c>
      <c r="I11">
        <f t="shared" si="1"/>
        <v>4.1277838527392419E-2</v>
      </c>
    </row>
    <row r="12" spans="1:9" x14ac:dyDescent="0.3">
      <c r="A12" t="s">
        <v>13</v>
      </c>
      <c r="B12">
        <v>100</v>
      </c>
      <c r="C12">
        <v>5.3800000000000001E-2</v>
      </c>
      <c r="D12">
        <v>6.7599999999999993E-2</v>
      </c>
      <c r="E12">
        <v>29.125299999999999</v>
      </c>
      <c r="F12">
        <v>41277.4</v>
      </c>
      <c r="G12">
        <f t="shared" si="0"/>
        <v>82.623355625265177</v>
      </c>
      <c r="H12">
        <v>82.810900000000004</v>
      </c>
      <c r="I12">
        <f t="shared" si="1"/>
        <v>0.1875443747348271</v>
      </c>
    </row>
    <row r="13" spans="1:9" x14ac:dyDescent="0.3">
      <c r="A13" t="s">
        <v>14</v>
      </c>
      <c r="B13">
        <v>100</v>
      </c>
      <c r="C13">
        <v>7.2800000000000004E-2</v>
      </c>
      <c r="D13">
        <v>6.7000000000000004E-2</v>
      </c>
      <c r="E13">
        <v>5.7576999999999998</v>
      </c>
      <c r="F13">
        <v>51316</v>
      </c>
      <c r="G13">
        <f t="shared" si="0"/>
        <v>102.69747591341867</v>
      </c>
      <c r="H13">
        <v>102.9659</v>
      </c>
      <c r="I13">
        <f t="shared" si="1"/>
        <v>0.26842408658133365</v>
      </c>
    </row>
    <row r="14" spans="1:9" x14ac:dyDescent="0.3">
      <c r="A14" t="s">
        <v>15</v>
      </c>
      <c r="B14">
        <v>100</v>
      </c>
      <c r="C14">
        <v>6.1600000000000002E-2</v>
      </c>
      <c r="D14">
        <v>6.9199999999999998E-2</v>
      </c>
      <c r="E14">
        <v>28.383299999999998</v>
      </c>
      <c r="F14">
        <v>4532.6000000000004</v>
      </c>
      <c r="G14">
        <f t="shared" si="0"/>
        <v>90.661404586851631</v>
      </c>
      <c r="H14">
        <v>90.6554</v>
      </c>
      <c r="I14">
        <f t="shared" si="1"/>
        <v>-6.0045868516311884E-3</v>
      </c>
    </row>
    <row r="15" spans="1:9" x14ac:dyDescent="0.3">
      <c r="A15" t="s">
        <v>16</v>
      </c>
      <c r="B15">
        <v>100</v>
      </c>
      <c r="C15">
        <v>6.6500000000000004E-2</v>
      </c>
      <c r="D15">
        <v>6.83E-2</v>
      </c>
      <c r="E15">
        <v>34.592700000000001</v>
      </c>
      <c r="F15">
        <v>4881.22</v>
      </c>
      <c r="G15">
        <f t="shared" si="0"/>
        <v>97.632654961466557</v>
      </c>
      <c r="H15">
        <v>98.460300000000004</v>
      </c>
      <c r="I15">
        <f t="shared" si="1"/>
        <v>0.82764503853344706</v>
      </c>
    </row>
    <row r="16" spans="1:9" x14ac:dyDescent="0.3">
      <c r="A16" t="s">
        <v>17</v>
      </c>
      <c r="B16">
        <v>100</v>
      </c>
      <c r="C16">
        <v>5.7000000000000002E-2</v>
      </c>
      <c r="D16">
        <v>6.59E-2</v>
      </c>
      <c r="E16">
        <v>38.8994</v>
      </c>
      <c r="F16">
        <v>175214.8</v>
      </c>
      <c r="G16">
        <f t="shared" si="0"/>
        <v>87.622797345896473</v>
      </c>
      <c r="H16">
        <v>88.352400000000003</v>
      </c>
      <c r="I16">
        <f t="shared" si="1"/>
        <v>0.72960265410353031</v>
      </c>
    </row>
    <row r="17" spans="1:9" x14ac:dyDescent="0.3">
      <c r="A17" t="s">
        <v>18</v>
      </c>
      <c r="B17">
        <v>100</v>
      </c>
      <c r="C17">
        <v>6.3100000000000003E-2</v>
      </c>
      <c r="D17">
        <v>6.5799999999999997E-2</v>
      </c>
      <c r="E17">
        <v>23.041799999999999</v>
      </c>
      <c r="F17">
        <v>9682.23</v>
      </c>
      <c r="G17">
        <f t="shared" si="0"/>
        <v>96.841673401487753</v>
      </c>
      <c r="H17">
        <v>97.031300000000002</v>
      </c>
      <c r="I17">
        <f t="shared" si="1"/>
        <v>0.18962659851224828</v>
      </c>
    </row>
    <row r="18" spans="1:9" x14ac:dyDescent="0.3">
      <c r="A18" t="s">
        <v>19</v>
      </c>
      <c r="B18">
        <v>100</v>
      </c>
      <c r="C18">
        <v>6.9000000000000006E-2</v>
      </c>
      <c r="D18">
        <v>7.1999999999999995E-2</v>
      </c>
      <c r="E18">
        <v>32.139600000000002</v>
      </c>
      <c r="F18">
        <v>9626.66</v>
      </c>
      <c r="G18">
        <f t="shared" si="0"/>
        <v>96.279339059787532</v>
      </c>
      <c r="H18">
        <v>97.801400000000001</v>
      </c>
      <c r="I18">
        <f t="shared" si="1"/>
        <v>1.5220609402124694</v>
      </c>
    </row>
    <row r="19" spans="1:9" x14ac:dyDescent="0.3">
      <c r="A19" t="s">
        <v>20</v>
      </c>
      <c r="B19">
        <v>100</v>
      </c>
      <c r="C19">
        <v>5.2600000000000001E-2</v>
      </c>
      <c r="D19">
        <v>6.5500000000000003E-2</v>
      </c>
      <c r="E19">
        <v>16.465399999999999</v>
      </c>
      <c r="F19">
        <v>17465.599999999999</v>
      </c>
      <c r="G19">
        <f t="shared" si="0"/>
        <v>87.234330853958994</v>
      </c>
      <c r="H19">
        <v>88.165800000000004</v>
      </c>
      <c r="I19">
        <f t="shared" si="1"/>
        <v>0.93146914604101028</v>
      </c>
    </row>
    <row r="20" spans="1:9" x14ac:dyDescent="0.3">
      <c r="A20" t="s">
        <v>21</v>
      </c>
      <c r="B20">
        <v>100</v>
      </c>
      <c r="C20">
        <v>7.3800000000000004E-2</v>
      </c>
      <c r="D20">
        <v>6.9500000000000006E-2</v>
      </c>
      <c r="E20">
        <v>30.4695</v>
      </c>
      <c r="F20">
        <v>5269.51</v>
      </c>
      <c r="G20">
        <f t="shared" si="0"/>
        <v>105.3883946453557</v>
      </c>
      <c r="H20">
        <v>107.0488</v>
      </c>
      <c r="I20">
        <f t="shared" si="1"/>
        <v>1.6604053546442969</v>
      </c>
    </row>
    <row r="21" spans="1:9" x14ac:dyDescent="0.3">
      <c r="A21" t="s">
        <v>22</v>
      </c>
      <c r="B21">
        <v>100</v>
      </c>
      <c r="C21">
        <v>7.7799999999999994E-2</v>
      </c>
      <c r="D21">
        <v>6.5299999999999997E-2</v>
      </c>
      <c r="E21">
        <v>1.9219999999999999</v>
      </c>
      <c r="F21">
        <v>203517.8</v>
      </c>
      <c r="G21">
        <f t="shared" si="0"/>
        <v>102.19140148664833</v>
      </c>
      <c r="H21">
        <v>103.28060000000001</v>
      </c>
      <c r="I21">
        <f t="shared" si="1"/>
        <v>1.0891985133516755</v>
      </c>
    </row>
    <row r="22" spans="1:9" x14ac:dyDescent="0.3">
      <c r="A22" t="s">
        <v>23</v>
      </c>
      <c r="B22">
        <v>100</v>
      </c>
      <c r="C22">
        <v>0.06</v>
      </c>
      <c r="D22">
        <v>7.1900000000000006E-2</v>
      </c>
      <c r="E22">
        <v>12.2601</v>
      </c>
      <c r="F22">
        <v>45269.95</v>
      </c>
      <c r="G22">
        <f t="shared" si="0"/>
        <v>90.514422584206784</v>
      </c>
      <c r="H22">
        <v>91.836399999999998</v>
      </c>
      <c r="I22">
        <f t="shared" si="1"/>
        <v>1.3219774157932136</v>
      </c>
    </row>
    <row r="23" spans="1:9" x14ac:dyDescent="0.3">
      <c r="A23" t="s">
        <v>24</v>
      </c>
      <c r="B23">
        <v>100</v>
      </c>
      <c r="C23">
        <v>5.11E-2</v>
      </c>
      <c r="D23">
        <v>7.2599999999999998E-2</v>
      </c>
      <c r="E23">
        <v>33.177300000000002</v>
      </c>
      <c r="F23">
        <v>14640.1</v>
      </c>
      <c r="G23">
        <f t="shared" si="0"/>
        <v>73.280738217516301</v>
      </c>
      <c r="H23">
        <v>74.457899999999995</v>
      </c>
      <c r="I23">
        <f t="shared" si="1"/>
        <v>1.1771617824836937</v>
      </c>
    </row>
    <row r="24" spans="1:9" x14ac:dyDescent="0.3">
      <c r="A24" t="s">
        <v>25</v>
      </c>
      <c r="B24">
        <v>100</v>
      </c>
      <c r="C24">
        <v>6.2300000000000001E-2</v>
      </c>
      <c r="D24">
        <v>7.1999999999999995E-2</v>
      </c>
      <c r="E24">
        <v>13.4565</v>
      </c>
      <c r="F24">
        <v>4594.96</v>
      </c>
      <c r="G24">
        <f t="shared" si="0"/>
        <v>91.813728482189617</v>
      </c>
      <c r="H24">
        <v>92.367000000000004</v>
      </c>
      <c r="I24">
        <f t="shared" si="1"/>
        <v>0.55327151781038708</v>
      </c>
    </row>
    <row r="25" spans="1:9" x14ac:dyDescent="0.3">
      <c r="A25" t="s">
        <v>26</v>
      </c>
      <c r="B25">
        <v>100</v>
      </c>
      <c r="C25">
        <v>6.7500000000000004E-2</v>
      </c>
      <c r="D25">
        <v>7.3800000000000004E-2</v>
      </c>
      <c r="E25">
        <v>14.6037</v>
      </c>
      <c r="F25">
        <v>18889.64</v>
      </c>
      <c r="G25">
        <f t="shared" si="0"/>
        <v>94.481198529038622</v>
      </c>
      <c r="H25">
        <v>95.173599999999993</v>
      </c>
      <c r="I25">
        <f t="shared" ref="I25:I88" si="2">H26-G26</f>
        <v>0.13463218542334232</v>
      </c>
    </row>
    <row r="26" spans="1:9" x14ac:dyDescent="0.3">
      <c r="A26" t="s">
        <v>27</v>
      </c>
      <c r="B26">
        <v>100</v>
      </c>
      <c r="C26">
        <v>5.96E-2</v>
      </c>
      <c r="D26">
        <v>6.7400000000000002E-2</v>
      </c>
      <c r="E26">
        <v>6.7405999999999997</v>
      </c>
      <c r="F26">
        <v>9594.8799999999992</v>
      </c>
      <c r="G26">
        <f t="shared" si="0"/>
        <v>95.883067814576663</v>
      </c>
      <c r="H26">
        <v>96.017700000000005</v>
      </c>
      <c r="I26">
        <f t="shared" si="2"/>
        <v>0.42452636550474665</v>
      </c>
    </row>
    <row r="27" spans="1:9" x14ac:dyDescent="0.3">
      <c r="A27" t="s">
        <v>28</v>
      </c>
      <c r="B27">
        <v>100</v>
      </c>
      <c r="C27">
        <v>6.8699999999999997E-2</v>
      </c>
      <c r="D27">
        <v>7.3999999999999996E-2</v>
      </c>
      <c r="E27">
        <v>0.60780000000000001</v>
      </c>
      <c r="F27">
        <v>4987.2299999999996</v>
      </c>
      <c r="G27">
        <f t="shared" si="0"/>
        <v>99.695873634495257</v>
      </c>
      <c r="H27">
        <v>100.1204</v>
      </c>
      <c r="I27">
        <f t="shared" si="2"/>
        <v>1.7737739649072068</v>
      </c>
    </row>
    <row r="28" spans="1:9" x14ac:dyDescent="0.3">
      <c r="A28" t="s">
        <v>29</v>
      </c>
      <c r="B28">
        <v>100</v>
      </c>
      <c r="C28">
        <v>7.7100000000000002E-2</v>
      </c>
      <c r="D28">
        <v>7.2599999999999998E-2</v>
      </c>
      <c r="E28">
        <v>20.6051</v>
      </c>
      <c r="F28">
        <v>104761.60000000001</v>
      </c>
      <c r="G28">
        <f t="shared" si="0"/>
        <v>104.7358260350928</v>
      </c>
      <c r="H28">
        <v>106.50960000000001</v>
      </c>
      <c r="I28">
        <f t="shared" si="2"/>
        <v>0.10252592142599326</v>
      </c>
    </row>
    <row r="29" spans="1:9" x14ac:dyDescent="0.3">
      <c r="A29" t="s">
        <v>30</v>
      </c>
      <c r="B29">
        <v>100</v>
      </c>
      <c r="C29">
        <v>5.2200000000000003E-2</v>
      </c>
      <c r="D29">
        <v>6.8500000000000005E-2</v>
      </c>
      <c r="E29">
        <v>16.090299999999999</v>
      </c>
      <c r="F29">
        <v>84304.3</v>
      </c>
      <c r="G29">
        <f t="shared" si="0"/>
        <v>84.398574078574001</v>
      </c>
      <c r="H29">
        <v>84.501099999999994</v>
      </c>
      <c r="I29">
        <f t="shared" si="2"/>
        <v>1.2167559951288496</v>
      </c>
    </row>
    <row r="30" spans="1:9" x14ac:dyDescent="0.3">
      <c r="A30" t="s">
        <v>31</v>
      </c>
      <c r="B30">
        <v>100</v>
      </c>
      <c r="C30">
        <v>5.5899999999999998E-2</v>
      </c>
      <c r="D30">
        <v>7.3099999999999998E-2</v>
      </c>
      <c r="E30">
        <v>21.8398</v>
      </c>
      <c r="F30">
        <v>162993.4</v>
      </c>
      <c r="G30">
        <f t="shared" si="0"/>
        <v>81.510644004871153</v>
      </c>
      <c r="H30">
        <v>82.727400000000003</v>
      </c>
      <c r="I30">
        <f t="shared" si="2"/>
        <v>0.59723782393965053</v>
      </c>
    </row>
    <row r="31" spans="1:9" x14ac:dyDescent="0.3">
      <c r="A31" t="s">
        <v>32</v>
      </c>
      <c r="B31">
        <v>100</v>
      </c>
      <c r="C31">
        <v>5.6300000000000003E-2</v>
      </c>
      <c r="D31">
        <v>6.9099999999999995E-2</v>
      </c>
      <c r="E31">
        <v>21.445599999999999</v>
      </c>
      <c r="F31">
        <v>171848.4</v>
      </c>
      <c r="G31">
        <f t="shared" si="0"/>
        <v>85.896062176060354</v>
      </c>
      <c r="H31">
        <v>86.493300000000005</v>
      </c>
      <c r="I31">
        <f t="shared" si="2"/>
        <v>0.41817897995436226</v>
      </c>
    </row>
    <row r="32" spans="1:9" x14ac:dyDescent="0.3">
      <c r="A32" t="s">
        <v>33</v>
      </c>
      <c r="B32">
        <v>100</v>
      </c>
      <c r="C32">
        <v>5.3900000000000003E-2</v>
      </c>
      <c r="D32">
        <v>6.7699999999999996E-2</v>
      </c>
      <c r="E32">
        <v>27.846699999999998</v>
      </c>
      <c r="F32">
        <v>16576.560000000001</v>
      </c>
      <c r="G32">
        <f t="shared" si="0"/>
        <v>82.905021020045638</v>
      </c>
      <c r="H32">
        <v>83.3232</v>
      </c>
      <c r="I32">
        <f t="shared" si="2"/>
        <v>1.1757917733553995</v>
      </c>
    </row>
    <row r="33" spans="1:9" x14ac:dyDescent="0.3">
      <c r="A33" t="s">
        <v>34</v>
      </c>
      <c r="B33">
        <v>100</v>
      </c>
      <c r="C33">
        <v>7.2300000000000003E-2</v>
      </c>
      <c r="D33">
        <v>7.4999999999999997E-2</v>
      </c>
      <c r="E33">
        <v>1.2375</v>
      </c>
      <c r="F33">
        <v>9974.4500000000007</v>
      </c>
      <c r="G33">
        <f t="shared" si="0"/>
        <v>99.691808226644596</v>
      </c>
      <c r="H33">
        <v>100.8676</v>
      </c>
      <c r="I33">
        <f t="shared" si="2"/>
        <v>-0.17359767420418848</v>
      </c>
    </row>
    <row r="34" spans="1:9" x14ac:dyDescent="0.3">
      <c r="A34" t="s">
        <v>35</v>
      </c>
      <c r="B34">
        <v>100</v>
      </c>
      <c r="C34">
        <v>7.7499999999999999E-2</v>
      </c>
      <c r="D34">
        <v>6.6699999999999995E-2</v>
      </c>
      <c r="E34">
        <v>2.2778999999999998</v>
      </c>
      <c r="F34">
        <v>20398.259999999998</v>
      </c>
      <c r="G34">
        <f t="shared" si="0"/>
        <v>102.21469767420419</v>
      </c>
      <c r="H34">
        <v>102.0411</v>
      </c>
      <c r="I34">
        <f t="shared" si="2"/>
        <v>0.14578700018689972</v>
      </c>
    </row>
    <row r="35" spans="1:9" x14ac:dyDescent="0.3">
      <c r="A35" t="s">
        <v>36</v>
      </c>
      <c r="B35">
        <v>100</v>
      </c>
      <c r="C35">
        <v>7.2700000000000001E-2</v>
      </c>
      <c r="D35">
        <v>6.8599999999999994E-2</v>
      </c>
      <c r="E35">
        <v>26.1355</v>
      </c>
      <c r="F35">
        <v>52470.95</v>
      </c>
      <c r="G35">
        <f t="shared" si="0"/>
        <v>104.9214129998131</v>
      </c>
      <c r="H35">
        <v>105.0672</v>
      </c>
      <c r="I35">
        <f t="shared" si="2"/>
        <v>0.85841003566414997</v>
      </c>
    </row>
    <row r="36" spans="1:9" x14ac:dyDescent="0.3">
      <c r="A36" t="s">
        <v>37</v>
      </c>
      <c r="B36">
        <v>100</v>
      </c>
      <c r="C36">
        <v>7.7499999999999999E-2</v>
      </c>
      <c r="D36">
        <v>7.4700000000000003E-2</v>
      </c>
      <c r="E36">
        <v>9.5632999999999999</v>
      </c>
      <c r="F36">
        <v>509404</v>
      </c>
      <c r="G36">
        <f t="shared" si="0"/>
        <v>101.86628996433585</v>
      </c>
      <c r="H36">
        <v>102.7247</v>
      </c>
      <c r="I36">
        <f t="shared" si="2"/>
        <v>0.37945695502253329</v>
      </c>
    </row>
    <row r="37" spans="1:9" x14ac:dyDescent="0.3">
      <c r="A37" t="s">
        <v>38</v>
      </c>
      <c r="B37">
        <v>100</v>
      </c>
      <c r="C37">
        <v>5.0799999999999998E-2</v>
      </c>
      <c r="D37">
        <v>6.7199999999999996E-2</v>
      </c>
      <c r="E37">
        <v>18.852799999999998</v>
      </c>
      <c r="F37">
        <v>413901.5</v>
      </c>
      <c r="G37">
        <f t="shared" si="0"/>
        <v>82.75604304497746</v>
      </c>
      <c r="H37">
        <v>83.135499999999993</v>
      </c>
      <c r="I37">
        <f t="shared" si="2"/>
        <v>1.1780624550577699</v>
      </c>
    </row>
    <row r="38" spans="1:9" x14ac:dyDescent="0.3">
      <c r="A38" t="s">
        <v>39</v>
      </c>
      <c r="B38">
        <v>100</v>
      </c>
      <c r="C38">
        <v>6.8400000000000002E-2</v>
      </c>
      <c r="D38">
        <v>6.5199999999999994E-2</v>
      </c>
      <c r="E38">
        <v>25.9849</v>
      </c>
      <c r="F38">
        <v>20790.439999999999</v>
      </c>
      <c r="G38">
        <f t="shared" si="0"/>
        <v>103.95713754494223</v>
      </c>
      <c r="H38">
        <v>105.1352</v>
      </c>
      <c r="I38">
        <f t="shared" si="2"/>
        <v>0.22754008336497122</v>
      </c>
    </row>
    <row r="39" spans="1:9" x14ac:dyDescent="0.3">
      <c r="A39" t="s">
        <v>40</v>
      </c>
      <c r="B39">
        <v>100</v>
      </c>
      <c r="C39">
        <v>7.0000000000000007E-2</v>
      </c>
      <c r="D39">
        <v>6.7400000000000002E-2</v>
      </c>
      <c r="E39">
        <v>14.045199999999999</v>
      </c>
      <c r="F39">
        <v>204665.2</v>
      </c>
      <c r="G39">
        <f t="shared" si="0"/>
        <v>102.31425991663502</v>
      </c>
      <c r="H39">
        <v>102.54179999999999</v>
      </c>
      <c r="I39">
        <f t="shared" si="2"/>
        <v>1.5587806908038999</v>
      </c>
    </row>
    <row r="40" spans="1:9" x14ac:dyDescent="0.3">
      <c r="A40" t="s">
        <v>41</v>
      </c>
      <c r="B40">
        <v>100</v>
      </c>
      <c r="C40">
        <v>5.6500000000000002E-2</v>
      </c>
      <c r="D40">
        <v>7.2400000000000006E-2</v>
      </c>
      <c r="E40">
        <v>8.8679000000000006</v>
      </c>
      <c r="F40">
        <v>9003.69</v>
      </c>
      <c r="G40">
        <f t="shared" si="0"/>
        <v>89.8543193091961</v>
      </c>
      <c r="H40">
        <v>91.4131</v>
      </c>
      <c r="I40">
        <f t="shared" si="2"/>
        <v>1.1746372816036228</v>
      </c>
    </row>
    <row r="41" spans="1:9" x14ac:dyDescent="0.3">
      <c r="A41" t="s">
        <v>42</v>
      </c>
      <c r="B41">
        <v>100</v>
      </c>
      <c r="C41">
        <v>5.5300000000000002E-2</v>
      </c>
      <c r="D41">
        <v>7.3999999999999996E-2</v>
      </c>
      <c r="E41">
        <v>3.488</v>
      </c>
      <c r="F41">
        <v>4752.5200000000004</v>
      </c>
      <c r="G41">
        <f t="shared" si="0"/>
        <v>94.429762718396375</v>
      </c>
      <c r="H41">
        <v>95.604399999999998</v>
      </c>
      <c r="I41">
        <f t="shared" si="2"/>
        <v>1.0132732837603271</v>
      </c>
    </row>
    <row r="42" spans="1:9" x14ac:dyDescent="0.3">
      <c r="A42" t="s">
        <v>43</v>
      </c>
      <c r="B42">
        <v>100</v>
      </c>
      <c r="C42">
        <v>6.7299999999999999E-2</v>
      </c>
      <c r="D42">
        <v>6.9000000000000006E-2</v>
      </c>
      <c r="E42">
        <v>4.2519</v>
      </c>
      <c r="F42">
        <v>49707.25</v>
      </c>
      <c r="G42">
        <f t="shared" si="0"/>
        <v>99.391426716239678</v>
      </c>
      <c r="H42">
        <v>100.40470000000001</v>
      </c>
      <c r="I42">
        <f t="shared" si="2"/>
        <v>0.65353503979744687</v>
      </c>
    </row>
    <row r="43" spans="1:9" x14ac:dyDescent="0.3">
      <c r="A43" t="s">
        <v>44</v>
      </c>
      <c r="B43">
        <v>100</v>
      </c>
      <c r="C43">
        <v>5.6800000000000003E-2</v>
      </c>
      <c r="D43">
        <v>6.5000000000000002E-2</v>
      </c>
      <c r="E43">
        <v>35.389499999999998</v>
      </c>
      <c r="F43">
        <v>44364.6</v>
      </c>
      <c r="G43">
        <f t="shared" si="0"/>
        <v>88.742964960202556</v>
      </c>
      <c r="H43">
        <v>89.396500000000003</v>
      </c>
      <c r="I43">
        <f t="shared" si="2"/>
        <v>1.5865097463064899</v>
      </c>
    </row>
    <row r="44" spans="1:9" x14ac:dyDescent="0.3">
      <c r="A44" t="s">
        <v>45</v>
      </c>
      <c r="B44">
        <v>100</v>
      </c>
      <c r="C44">
        <v>6.5500000000000003E-2</v>
      </c>
      <c r="D44">
        <v>7.3700000000000002E-2</v>
      </c>
      <c r="E44">
        <v>1.4155</v>
      </c>
      <c r="F44">
        <v>4961.16</v>
      </c>
      <c r="G44">
        <f t="shared" si="0"/>
        <v>98.934590253693514</v>
      </c>
      <c r="H44">
        <v>100.5211</v>
      </c>
      <c r="I44">
        <f t="shared" si="2"/>
        <v>1.6155212553929914</v>
      </c>
    </row>
    <row r="45" spans="1:9" x14ac:dyDescent="0.3">
      <c r="A45" t="s">
        <v>46</v>
      </c>
      <c r="B45">
        <v>100</v>
      </c>
      <c r="C45">
        <v>6.7000000000000004E-2</v>
      </c>
      <c r="D45">
        <v>7.1300000000000002E-2</v>
      </c>
      <c r="E45">
        <v>17.8371</v>
      </c>
      <c r="F45">
        <v>4786.9399999999996</v>
      </c>
      <c r="G45">
        <f t="shared" si="0"/>
        <v>95.734578744607006</v>
      </c>
      <c r="H45">
        <v>97.350099999999998</v>
      </c>
      <c r="I45">
        <f t="shared" si="2"/>
        <v>1.0732162754391652</v>
      </c>
    </row>
    <row r="46" spans="1:9" x14ac:dyDescent="0.3">
      <c r="A46" t="s">
        <v>47</v>
      </c>
      <c r="B46">
        <v>100</v>
      </c>
      <c r="C46">
        <v>6.2399999999999997E-2</v>
      </c>
      <c r="D46">
        <v>6.9900000000000004E-2</v>
      </c>
      <c r="E46">
        <v>18.436699999999998</v>
      </c>
      <c r="F46">
        <v>46192.800000000003</v>
      </c>
      <c r="G46">
        <f t="shared" si="0"/>
        <v>92.357783724560832</v>
      </c>
      <c r="H46">
        <v>93.430999999999997</v>
      </c>
      <c r="I46">
        <f t="shared" si="2"/>
        <v>0.91241762536850501</v>
      </c>
    </row>
    <row r="47" spans="1:9" x14ac:dyDescent="0.3">
      <c r="A47" t="s">
        <v>48</v>
      </c>
      <c r="B47">
        <v>100</v>
      </c>
      <c r="C47">
        <v>5.9200000000000003E-2</v>
      </c>
      <c r="D47">
        <v>7.3700000000000002E-2</v>
      </c>
      <c r="E47">
        <v>13.949299999999999</v>
      </c>
      <c r="F47">
        <v>4386.57</v>
      </c>
      <c r="G47">
        <f t="shared" si="0"/>
        <v>87.6219823746315</v>
      </c>
      <c r="H47">
        <v>88.534400000000005</v>
      </c>
      <c r="I47">
        <f t="shared" si="2"/>
        <v>0.78285342767992461</v>
      </c>
    </row>
    <row r="48" spans="1:9" x14ac:dyDescent="0.3">
      <c r="A48" t="s">
        <v>49</v>
      </c>
      <c r="B48">
        <v>100</v>
      </c>
      <c r="C48">
        <v>5.3699999999999998E-2</v>
      </c>
      <c r="D48">
        <v>7.2300000000000003E-2</v>
      </c>
      <c r="E48">
        <v>13.1389</v>
      </c>
      <c r="F48">
        <v>4224.6099999999997</v>
      </c>
      <c r="G48">
        <f t="shared" si="0"/>
        <v>84.555246572320073</v>
      </c>
      <c r="H48">
        <v>85.338099999999997</v>
      </c>
      <c r="I48">
        <f t="shared" si="2"/>
        <v>0.82403064334556575</v>
      </c>
    </row>
    <row r="49" spans="1:9" x14ac:dyDescent="0.3">
      <c r="A49" t="s">
        <v>50</v>
      </c>
      <c r="B49">
        <v>100</v>
      </c>
      <c r="C49">
        <v>7.6999999999999999E-2</v>
      </c>
      <c r="D49">
        <v>7.2499999999999995E-2</v>
      </c>
      <c r="E49">
        <v>5.5140000000000002</v>
      </c>
      <c r="F49">
        <v>102011.6</v>
      </c>
      <c r="G49">
        <f t="shared" si="0"/>
        <v>101.98736935665444</v>
      </c>
      <c r="H49">
        <v>102.81140000000001</v>
      </c>
      <c r="I49">
        <f t="shared" si="2"/>
        <v>0.30800958664104883</v>
      </c>
    </row>
    <row r="50" spans="1:9" x14ac:dyDescent="0.3">
      <c r="A50" t="s">
        <v>51</v>
      </c>
      <c r="B50">
        <v>100</v>
      </c>
      <c r="C50">
        <v>5.79E-2</v>
      </c>
      <c r="D50">
        <v>7.3300000000000004E-2</v>
      </c>
      <c r="E50">
        <v>22.557200000000002</v>
      </c>
      <c r="F50">
        <v>16629.86</v>
      </c>
      <c r="G50">
        <f t="shared" si="0"/>
        <v>83.250690413358953</v>
      </c>
      <c r="H50">
        <v>83.558700000000002</v>
      </c>
      <c r="I50">
        <f t="shared" si="2"/>
        <v>0.52717228972807106</v>
      </c>
    </row>
    <row r="51" spans="1:9" x14ac:dyDescent="0.3">
      <c r="A51" t="s">
        <v>52</v>
      </c>
      <c r="B51">
        <v>100</v>
      </c>
      <c r="C51">
        <v>6.08E-2</v>
      </c>
      <c r="D51">
        <v>7.5300000000000006E-2</v>
      </c>
      <c r="E51">
        <v>8.8871000000000002</v>
      </c>
      <c r="F51">
        <v>9101.69</v>
      </c>
      <c r="G51">
        <f t="shared" si="0"/>
        <v>90.844727710271926</v>
      </c>
      <c r="H51">
        <v>91.371899999999997</v>
      </c>
      <c r="I51">
        <f t="shared" si="2"/>
        <v>0.34988148271983732</v>
      </c>
    </row>
    <row r="52" spans="1:9" x14ac:dyDescent="0.3">
      <c r="A52" t="s">
        <v>53</v>
      </c>
      <c r="B52">
        <v>100</v>
      </c>
      <c r="C52">
        <v>5.9499999999999997E-2</v>
      </c>
      <c r="D52">
        <v>6.9599999999999995E-2</v>
      </c>
      <c r="E52">
        <v>1.3798999999999999</v>
      </c>
      <c r="F52">
        <v>99040.4</v>
      </c>
      <c r="G52">
        <f t="shared" si="0"/>
        <v>98.713318517280157</v>
      </c>
      <c r="H52">
        <v>99.063199999999995</v>
      </c>
      <c r="I52">
        <f t="shared" si="2"/>
        <v>0.1571104179068783</v>
      </c>
    </row>
    <row r="53" spans="1:9" x14ac:dyDescent="0.3">
      <c r="A53" t="s">
        <v>54</v>
      </c>
      <c r="B53">
        <v>100</v>
      </c>
      <c r="C53">
        <v>6.08E-2</v>
      </c>
      <c r="D53">
        <v>7.4300000000000005E-2</v>
      </c>
      <c r="E53">
        <v>12.405200000000001</v>
      </c>
      <c r="F53">
        <v>44700.65</v>
      </c>
      <c r="G53">
        <f t="shared" si="0"/>
        <v>89.298789582093121</v>
      </c>
      <c r="H53">
        <v>89.4559</v>
      </c>
      <c r="I53">
        <f t="shared" si="2"/>
        <v>0.90910629856020364</v>
      </c>
    </row>
    <row r="54" spans="1:9" x14ac:dyDescent="0.3">
      <c r="A54" t="s">
        <v>55</v>
      </c>
      <c r="B54">
        <v>100</v>
      </c>
      <c r="C54">
        <v>5.1299999999999998E-2</v>
      </c>
      <c r="D54">
        <v>6.8900000000000003E-2</v>
      </c>
      <c r="E54">
        <v>3.3264999999999998</v>
      </c>
      <c r="F54">
        <v>9530.24</v>
      </c>
      <c r="G54">
        <f t="shared" si="0"/>
        <v>94.921793701439796</v>
      </c>
      <c r="H54">
        <v>95.8309</v>
      </c>
      <c r="I54">
        <f t="shared" si="2"/>
        <v>0.51410000830264835</v>
      </c>
    </row>
    <row r="55" spans="1:9" x14ac:dyDescent="0.3">
      <c r="A55" t="s">
        <v>56</v>
      </c>
      <c r="B55">
        <v>100</v>
      </c>
      <c r="C55">
        <v>6.3100000000000003E-2</v>
      </c>
      <c r="D55">
        <v>7.1999999999999995E-2</v>
      </c>
      <c r="E55">
        <v>10.8309</v>
      </c>
      <c r="F55">
        <v>467603</v>
      </c>
      <c r="G55">
        <f t="shared" si="0"/>
        <v>93.460199991697351</v>
      </c>
      <c r="H55">
        <v>93.974299999999999</v>
      </c>
      <c r="I55">
        <f t="shared" si="2"/>
        <v>1.2465917381437777</v>
      </c>
    </row>
    <row r="56" spans="1:9" x14ac:dyDescent="0.3">
      <c r="A56" t="s">
        <v>57</v>
      </c>
      <c r="B56">
        <v>100</v>
      </c>
      <c r="C56">
        <v>7.4300000000000005E-2</v>
      </c>
      <c r="D56">
        <v>7.0999999999999994E-2</v>
      </c>
      <c r="E56">
        <v>5.8371000000000004</v>
      </c>
      <c r="F56">
        <v>101481.2</v>
      </c>
      <c r="G56">
        <f t="shared" si="0"/>
        <v>101.53350826185623</v>
      </c>
      <c r="H56">
        <v>102.7801</v>
      </c>
      <c r="I56">
        <f t="shared" si="2"/>
        <v>1.3843344149252914</v>
      </c>
    </row>
    <row r="57" spans="1:9" x14ac:dyDescent="0.3">
      <c r="A57" t="s">
        <v>58</v>
      </c>
      <c r="B57">
        <v>100</v>
      </c>
      <c r="C57">
        <v>7.2900000000000006E-2</v>
      </c>
      <c r="D57">
        <v>7.1499999999999994E-2</v>
      </c>
      <c r="E57">
        <v>6.2668999999999997</v>
      </c>
      <c r="F57">
        <v>201347</v>
      </c>
      <c r="G57">
        <f t="shared" si="0"/>
        <v>100.6878655850747</v>
      </c>
      <c r="H57">
        <v>102.0722</v>
      </c>
      <c r="I57">
        <f t="shared" si="2"/>
        <v>0.54825659274007421</v>
      </c>
    </row>
    <row r="58" spans="1:9" x14ac:dyDescent="0.3">
      <c r="A58" t="s">
        <v>59</v>
      </c>
      <c r="B58">
        <v>100</v>
      </c>
      <c r="C58">
        <v>5.9299999999999999E-2</v>
      </c>
      <c r="D58">
        <v>6.6400000000000001E-2</v>
      </c>
      <c r="E58">
        <v>24.936299999999999</v>
      </c>
      <c r="F58">
        <v>91465.2</v>
      </c>
      <c r="G58">
        <f t="shared" si="0"/>
        <v>91.459343407259922</v>
      </c>
      <c r="H58">
        <v>92.007599999999996</v>
      </c>
      <c r="I58">
        <f t="shared" si="2"/>
        <v>0.25655235766653561</v>
      </c>
    </row>
    <row r="59" spans="1:9" x14ac:dyDescent="0.3">
      <c r="A59" t="s">
        <v>60</v>
      </c>
      <c r="B59">
        <v>100</v>
      </c>
      <c r="C59">
        <v>7.7600000000000002E-2</v>
      </c>
      <c r="D59">
        <v>7.3300000000000004E-2</v>
      </c>
      <c r="E59">
        <v>31.175899999999999</v>
      </c>
      <c r="F59">
        <v>5261.82</v>
      </c>
      <c r="G59">
        <f t="shared" si="0"/>
        <v>105.21974764233346</v>
      </c>
      <c r="H59">
        <v>105.47629999999999</v>
      </c>
      <c r="I59">
        <f t="shared" si="2"/>
        <v>0.44922456259401145</v>
      </c>
    </row>
    <row r="60" spans="1:9" x14ac:dyDescent="0.3">
      <c r="A60" t="s">
        <v>61</v>
      </c>
      <c r="B60">
        <v>100</v>
      </c>
      <c r="C60">
        <v>5.9299999999999999E-2</v>
      </c>
      <c r="D60">
        <v>7.17E-2</v>
      </c>
      <c r="E60">
        <v>6.1054000000000004</v>
      </c>
      <c r="F60">
        <v>47019.3</v>
      </c>
      <c r="G60">
        <f t="shared" si="0"/>
        <v>94.037375437405984</v>
      </c>
      <c r="H60">
        <v>94.486599999999996</v>
      </c>
      <c r="I60">
        <f t="shared" si="2"/>
        <v>1.139168913941603</v>
      </c>
    </row>
    <row r="61" spans="1:9" x14ac:dyDescent="0.3">
      <c r="A61" t="s">
        <v>62</v>
      </c>
      <c r="B61">
        <v>100</v>
      </c>
      <c r="C61">
        <v>6.1100000000000002E-2</v>
      </c>
      <c r="D61">
        <v>7.2800000000000004E-2</v>
      </c>
      <c r="E61">
        <v>14.768000000000001</v>
      </c>
      <c r="F61">
        <v>89627.1</v>
      </c>
      <c r="G61">
        <f t="shared" si="0"/>
        <v>89.621731086058404</v>
      </c>
      <c r="H61">
        <v>90.760900000000007</v>
      </c>
      <c r="I61">
        <f t="shared" si="2"/>
        <v>1.2763412176516482</v>
      </c>
    </row>
    <row r="62" spans="1:9" x14ac:dyDescent="0.3">
      <c r="A62" t="s">
        <v>63</v>
      </c>
      <c r="B62">
        <v>100</v>
      </c>
      <c r="C62">
        <v>7.7100000000000002E-2</v>
      </c>
      <c r="D62">
        <v>7.22E-2</v>
      </c>
      <c r="E62">
        <v>23.044499999999999</v>
      </c>
      <c r="F62">
        <v>105458.8</v>
      </c>
      <c r="G62">
        <f t="shared" si="0"/>
        <v>105.42535878234835</v>
      </c>
      <c r="H62">
        <v>106.7017</v>
      </c>
      <c r="I62">
        <f t="shared" si="2"/>
        <v>0.62682320838794681</v>
      </c>
    </row>
    <row r="63" spans="1:9" x14ac:dyDescent="0.3">
      <c r="A63" t="s">
        <v>64</v>
      </c>
      <c r="B63">
        <v>100</v>
      </c>
      <c r="C63">
        <v>5.6899999999999999E-2</v>
      </c>
      <c r="D63">
        <v>6.7199999999999996E-2</v>
      </c>
      <c r="E63">
        <v>2.4175</v>
      </c>
      <c r="F63">
        <v>490510.5</v>
      </c>
      <c r="G63">
        <f t="shared" si="0"/>
        <v>97.769976791612052</v>
      </c>
      <c r="H63">
        <v>98.396799999999999</v>
      </c>
      <c r="I63">
        <f t="shared" si="2"/>
        <v>0.69789628284780747</v>
      </c>
    </row>
    <row r="64" spans="1:9" x14ac:dyDescent="0.3">
      <c r="A64" t="s">
        <v>65</v>
      </c>
      <c r="B64">
        <v>100</v>
      </c>
      <c r="C64">
        <v>5.3100000000000001E-2</v>
      </c>
      <c r="D64">
        <v>6.88E-2</v>
      </c>
      <c r="E64">
        <v>2.2368000000000001</v>
      </c>
      <c r="F64">
        <v>485562.5</v>
      </c>
      <c r="G64">
        <f t="shared" si="0"/>
        <v>96.84440371715219</v>
      </c>
      <c r="H64">
        <v>97.542299999999997</v>
      </c>
      <c r="I64">
        <f t="shared" si="2"/>
        <v>1.4862887232498707</v>
      </c>
    </row>
    <row r="65" spans="1:9" x14ac:dyDescent="0.3">
      <c r="A65" t="s">
        <v>66</v>
      </c>
      <c r="B65">
        <v>100</v>
      </c>
      <c r="C65">
        <v>6.6900000000000001E-2</v>
      </c>
      <c r="D65">
        <v>7.4899999999999994E-2</v>
      </c>
      <c r="E65">
        <v>22.179300000000001</v>
      </c>
      <c r="F65">
        <v>4571.8900000000003</v>
      </c>
      <c r="G65">
        <f t="shared" si="0"/>
        <v>91.471311276750129</v>
      </c>
      <c r="H65">
        <v>92.957599999999999</v>
      </c>
      <c r="I65">
        <f t="shared" si="2"/>
        <v>1.134407047382993</v>
      </c>
    </row>
    <row r="66" spans="1:9" x14ac:dyDescent="0.3">
      <c r="A66" t="s">
        <v>67</v>
      </c>
      <c r="B66">
        <v>100</v>
      </c>
      <c r="C66">
        <v>5.9200000000000003E-2</v>
      </c>
      <c r="D66">
        <v>6.7900000000000002E-2</v>
      </c>
      <c r="E66">
        <v>9.8370999999999995</v>
      </c>
      <c r="F66">
        <v>187963.2</v>
      </c>
      <c r="G66">
        <f t="shared" si="0"/>
        <v>93.901192952617009</v>
      </c>
      <c r="H66">
        <v>95.035600000000002</v>
      </c>
      <c r="I66">
        <f t="shared" si="2"/>
        <v>0.33790725657433995</v>
      </c>
    </row>
    <row r="67" spans="1:9" x14ac:dyDescent="0.3">
      <c r="A67" t="s">
        <v>68</v>
      </c>
      <c r="B67">
        <v>100</v>
      </c>
      <c r="C67">
        <v>6.2300000000000001E-2</v>
      </c>
      <c r="D67">
        <v>7.3700000000000002E-2</v>
      </c>
      <c r="E67">
        <v>9.4948999999999995</v>
      </c>
      <c r="F67">
        <v>46297.95</v>
      </c>
      <c r="G67">
        <f t="shared" ref="G67:G130" si="3">B67*(C67*((1-(1+D67)^(-E67))/D67)+(1+D67)^(-E67))</f>
        <v>92.40609274342566</v>
      </c>
      <c r="H67">
        <v>92.744</v>
      </c>
      <c r="I67">
        <f t="shared" si="2"/>
        <v>0.99964919061923752</v>
      </c>
    </row>
    <row r="68" spans="1:9" x14ac:dyDescent="0.3">
      <c r="A68" t="s">
        <v>69</v>
      </c>
      <c r="B68">
        <v>100</v>
      </c>
      <c r="C68">
        <v>7.1199999999999999E-2</v>
      </c>
      <c r="D68">
        <v>7.0800000000000002E-2</v>
      </c>
      <c r="E68">
        <v>12.722799999999999</v>
      </c>
      <c r="F68">
        <v>100328.2</v>
      </c>
      <c r="G68">
        <f t="shared" si="3"/>
        <v>100.32835080938077</v>
      </c>
      <c r="H68">
        <v>101.328</v>
      </c>
      <c r="I68">
        <f t="shared" si="2"/>
        <v>0.12670198792555709</v>
      </c>
    </row>
    <row r="69" spans="1:9" x14ac:dyDescent="0.3">
      <c r="A69" t="s">
        <v>70</v>
      </c>
      <c r="B69">
        <v>100</v>
      </c>
      <c r="C69">
        <v>5.6099999999999997E-2</v>
      </c>
      <c r="D69">
        <v>6.6100000000000006E-2</v>
      </c>
      <c r="E69">
        <v>28.23</v>
      </c>
      <c r="F69">
        <v>436602.5</v>
      </c>
      <c r="G69">
        <f t="shared" si="3"/>
        <v>87.354898012074443</v>
      </c>
      <c r="H69">
        <v>87.4816</v>
      </c>
      <c r="I69">
        <f t="shared" si="2"/>
        <v>0.79533270176749227</v>
      </c>
    </row>
    <row r="70" spans="1:9" x14ac:dyDescent="0.3">
      <c r="A70" t="s">
        <v>71</v>
      </c>
      <c r="B70">
        <v>100</v>
      </c>
      <c r="C70">
        <v>5.5100000000000003E-2</v>
      </c>
      <c r="D70">
        <v>6.8699999999999997E-2</v>
      </c>
      <c r="E70">
        <v>7.1348000000000003</v>
      </c>
      <c r="F70">
        <v>9254.16</v>
      </c>
      <c r="G70">
        <f t="shared" si="3"/>
        <v>92.526367298232515</v>
      </c>
      <c r="H70">
        <v>93.321700000000007</v>
      </c>
      <c r="I70">
        <f t="shared" si="2"/>
        <v>0.26542411436808777</v>
      </c>
    </row>
    <row r="71" spans="1:9" x14ac:dyDescent="0.3">
      <c r="A71" t="s">
        <v>72</v>
      </c>
      <c r="B71">
        <v>100</v>
      </c>
      <c r="C71">
        <v>6.0499999999999998E-2</v>
      </c>
      <c r="D71">
        <v>7.0999999999999994E-2</v>
      </c>
      <c r="E71">
        <v>10.231299999999999</v>
      </c>
      <c r="F71">
        <v>4628.6099999999997</v>
      </c>
      <c r="G71">
        <f t="shared" si="3"/>
        <v>92.541975885631913</v>
      </c>
      <c r="H71">
        <v>92.807400000000001</v>
      </c>
      <c r="I71">
        <f t="shared" si="2"/>
        <v>0.8172055180409501</v>
      </c>
    </row>
    <row r="72" spans="1:9" x14ac:dyDescent="0.3">
      <c r="A72" t="s">
        <v>73</v>
      </c>
      <c r="B72">
        <v>100</v>
      </c>
      <c r="C72">
        <v>7.1499999999999994E-2</v>
      </c>
      <c r="D72">
        <v>6.6199999999999995E-2</v>
      </c>
      <c r="E72">
        <v>5.7358000000000002</v>
      </c>
      <c r="F72">
        <v>204820.8</v>
      </c>
      <c r="G72">
        <f t="shared" si="3"/>
        <v>102.46309448195905</v>
      </c>
      <c r="H72">
        <v>103.2803</v>
      </c>
      <c r="I72">
        <f t="shared" si="2"/>
        <v>1.0048436282814919</v>
      </c>
    </row>
    <row r="73" spans="1:9" x14ac:dyDescent="0.3">
      <c r="A73" t="s">
        <v>74</v>
      </c>
      <c r="B73">
        <v>100</v>
      </c>
      <c r="C73">
        <v>5.8200000000000002E-2</v>
      </c>
      <c r="D73">
        <v>7.2800000000000004E-2</v>
      </c>
      <c r="E73">
        <v>8.4326000000000008</v>
      </c>
      <c r="F73">
        <v>9126.34</v>
      </c>
      <c r="G73">
        <f t="shared" si="3"/>
        <v>91.033456371718515</v>
      </c>
      <c r="H73">
        <v>92.038300000000007</v>
      </c>
      <c r="I73">
        <f t="shared" si="2"/>
        <v>1.038218867137175E-2</v>
      </c>
    </row>
    <row r="74" spans="1:9" x14ac:dyDescent="0.3">
      <c r="A74" t="s">
        <v>75</v>
      </c>
      <c r="B74">
        <v>100</v>
      </c>
      <c r="C74">
        <v>6.6400000000000001E-2</v>
      </c>
      <c r="D74">
        <v>7.17E-2</v>
      </c>
      <c r="E74">
        <v>31.616700000000002</v>
      </c>
      <c r="F74">
        <v>18682.34</v>
      </c>
      <c r="G74">
        <f t="shared" si="3"/>
        <v>93.435917811328622</v>
      </c>
      <c r="H74">
        <v>93.446299999999994</v>
      </c>
      <c r="I74">
        <f t="shared" si="2"/>
        <v>0.31125242311979662</v>
      </c>
    </row>
    <row r="75" spans="1:9" x14ac:dyDescent="0.3">
      <c r="A75" t="s">
        <v>76</v>
      </c>
      <c r="B75">
        <v>100</v>
      </c>
      <c r="C75">
        <v>6.4899999999999999E-2</v>
      </c>
      <c r="D75">
        <v>7.2800000000000004E-2</v>
      </c>
      <c r="E75">
        <v>13.87</v>
      </c>
      <c r="F75">
        <v>9328.1299999999992</v>
      </c>
      <c r="G75">
        <f t="shared" si="3"/>
        <v>93.242847576880209</v>
      </c>
      <c r="H75">
        <v>93.554100000000005</v>
      </c>
      <c r="I75">
        <f t="shared" si="2"/>
        <v>1.3419700386062345</v>
      </c>
    </row>
    <row r="76" spans="1:9" x14ac:dyDescent="0.3">
      <c r="A76" t="s">
        <v>77</v>
      </c>
      <c r="B76">
        <v>100</v>
      </c>
      <c r="C76">
        <v>5.4899999999999997E-2</v>
      </c>
      <c r="D76">
        <v>7.1900000000000006E-2</v>
      </c>
      <c r="E76">
        <v>2.8965999999999998</v>
      </c>
      <c r="F76">
        <v>9617.25</v>
      </c>
      <c r="G76">
        <f t="shared" si="3"/>
        <v>95.692429961393771</v>
      </c>
      <c r="H76">
        <v>97.034400000000005</v>
      </c>
      <c r="I76">
        <f t="shared" si="2"/>
        <v>0.62239116471175748</v>
      </c>
    </row>
    <row r="77" spans="1:9" x14ac:dyDescent="0.3">
      <c r="A77" t="s">
        <v>78</v>
      </c>
      <c r="B77">
        <v>100</v>
      </c>
      <c r="C77">
        <v>6.2600000000000003E-2</v>
      </c>
      <c r="D77">
        <v>7.1199999999999999E-2</v>
      </c>
      <c r="E77">
        <v>8.9473000000000003</v>
      </c>
      <c r="F77">
        <v>18917.12</v>
      </c>
      <c r="G77">
        <f t="shared" si="3"/>
        <v>94.44900883528824</v>
      </c>
      <c r="H77">
        <v>95.071399999999997</v>
      </c>
      <c r="I77">
        <f t="shared" si="2"/>
        <v>1.0736143254361252</v>
      </c>
    </row>
    <row r="78" spans="1:9" x14ac:dyDescent="0.3">
      <c r="A78" t="s">
        <v>79</v>
      </c>
      <c r="B78">
        <v>100</v>
      </c>
      <c r="C78">
        <v>6.6500000000000004E-2</v>
      </c>
      <c r="D78">
        <v>7.3499999999999996E-2</v>
      </c>
      <c r="E78">
        <v>2.1520000000000001</v>
      </c>
      <c r="F78">
        <v>197439.4</v>
      </c>
      <c r="G78">
        <f t="shared" si="3"/>
        <v>98.651885674563871</v>
      </c>
      <c r="H78">
        <v>99.725499999999997</v>
      </c>
      <c r="I78">
        <f t="shared" si="2"/>
        <v>0.75221819095827414</v>
      </c>
    </row>
    <row r="79" spans="1:9" x14ac:dyDescent="0.3">
      <c r="A79" t="s">
        <v>80</v>
      </c>
      <c r="B79">
        <v>100</v>
      </c>
      <c r="C79">
        <v>6.4899999999999999E-2</v>
      </c>
      <c r="D79">
        <v>7.46E-2</v>
      </c>
      <c r="E79">
        <v>7.4935</v>
      </c>
      <c r="F79">
        <v>47392.15</v>
      </c>
      <c r="G79">
        <f t="shared" si="3"/>
        <v>94.58108180904172</v>
      </c>
      <c r="H79">
        <v>95.333299999999994</v>
      </c>
      <c r="I79">
        <f t="shared" si="2"/>
        <v>1.0112494228129378</v>
      </c>
    </row>
    <row r="80" spans="1:9" x14ac:dyDescent="0.3">
      <c r="A80" t="s">
        <v>81</v>
      </c>
      <c r="B80">
        <v>100</v>
      </c>
      <c r="C80">
        <v>5.9499999999999997E-2</v>
      </c>
      <c r="D80">
        <v>7.46E-2</v>
      </c>
      <c r="E80">
        <v>28.8597</v>
      </c>
      <c r="F80">
        <v>16453.759999999998</v>
      </c>
      <c r="G80">
        <f t="shared" si="3"/>
        <v>82.296550577187062</v>
      </c>
      <c r="H80">
        <v>83.3078</v>
      </c>
      <c r="I80">
        <f t="shared" si="2"/>
        <v>1.2875527714711552</v>
      </c>
    </row>
    <row r="81" spans="1:9" x14ac:dyDescent="0.3">
      <c r="A81" t="s">
        <v>82</v>
      </c>
      <c r="B81">
        <v>100</v>
      </c>
      <c r="C81">
        <v>6.4500000000000002E-2</v>
      </c>
      <c r="D81">
        <v>6.6900000000000001E-2</v>
      </c>
      <c r="E81">
        <v>1.7741</v>
      </c>
      <c r="F81">
        <v>9966.2800000000007</v>
      </c>
      <c r="G81">
        <f t="shared" si="3"/>
        <v>99.610647228528848</v>
      </c>
      <c r="H81">
        <v>100.8982</v>
      </c>
      <c r="I81">
        <f t="shared" si="2"/>
        <v>1.4196806223551874</v>
      </c>
    </row>
    <row r="82" spans="1:9" x14ac:dyDescent="0.3">
      <c r="A82" t="s">
        <v>83</v>
      </c>
      <c r="B82">
        <v>100</v>
      </c>
      <c r="C82">
        <v>7.9899999999999999E-2</v>
      </c>
      <c r="D82">
        <v>7.3800000000000004E-2</v>
      </c>
      <c r="E82">
        <v>10.0534</v>
      </c>
      <c r="F82">
        <v>10426.120000000001</v>
      </c>
      <c r="G82">
        <f t="shared" si="3"/>
        <v>104.22551937764482</v>
      </c>
      <c r="H82">
        <v>105.6452</v>
      </c>
      <c r="I82">
        <f t="shared" si="2"/>
        <v>1.6009756572106255</v>
      </c>
    </row>
    <row r="83" spans="1:9" x14ac:dyDescent="0.3">
      <c r="A83" t="s">
        <v>84</v>
      </c>
      <c r="B83">
        <v>100</v>
      </c>
      <c r="C83">
        <v>6.9099999999999995E-2</v>
      </c>
      <c r="D83">
        <v>7.9000000000000001E-2</v>
      </c>
      <c r="E83">
        <v>3.5181</v>
      </c>
      <c r="F83">
        <v>9702.35</v>
      </c>
      <c r="G83">
        <f t="shared" si="3"/>
        <v>97.058724342789375</v>
      </c>
      <c r="H83">
        <v>98.659700000000001</v>
      </c>
      <c r="I83">
        <f t="shared" si="2"/>
        <v>0.93839057456419539</v>
      </c>
    </row>
    <row r="84" spans="1:9" x14ac:dyDescent="0.3">
      <c r="A84" t="s">
        <v>85</v>
      </c>
      <c r="B84">
        <v>100</v>
      </c>
      <c r="C84">
        <v>6.59E-2</v>
      </c>
      <c r="D84">
        <v>7.5499999999999998E-2</v>
      </c>
      <c r="E84">
        <v>1.6345000000000001</v>
      </c>
      <c r="F84">
        <v>4933.1099999999997</v>
      </c>
      <c r="G84">
        <f t="shared" si="3"/>
        <v>98.573809425435812</v>
      </c>
      <c r="H84">
        <v>99.512200000000007</v>
      </c>
      <c r="I84">
        <f t="shared" si="2"/>
        <v>1.9150893497289871</v>
      </c>
    </row>
    <row r="85" spans="1:9" x14ac:dyDescent="0.3">
      <c r="A85" t="s">
        <v>86</v>
      </c>
      <c r="B85">
        <v>100</v>
      </c>
      <c r="C85">
        <v>0.08</v>
      </c>
      <c r="D85">
        <v>7.3999999999999996E-2</v>
      </c>
      <c r="E85">
        <v>1.6700999999999999</v>
      </c>
      <c r="F85">
        <v>20167.46</v>
      </c>
      <c r="G85">
        <f t="shared" si="3"/>
        <v>100.91131065027102</v>
      </c>
      <c r="H85">
        <v>102.82640000000001</v>
      </c>
      <c r="I85">
        <f t="shared" si="2"/>
        <v>0.22244245384300143</v>
      </c>
    </row>
    <row r="86" spans="1:9" x14ac:dyDescent="0.3">
      <c r="A86" t="s">
        <v>87</v>
      </c>
      <c r="B86">
        <v>100</v>
      </c>
      <c r="C86">
        <v>7.7899999999999997E-2</v>
      </c>
      <c r="D86">
        <v>7.0099999999999996E-2</v>
      </c>
      <c r="E86">
        <v>5.4592999999999998</v>
      </c>
      <c r="F86">
        <v>5162.1400000000003</v>
      </c>
      <c r="G86">
        <f t="shared" si="3"/>
        <v>103.440257546157</v>
      </c>
      <c r="H86">
        <v>103.6627</v>
      </c>
      <c r="I86">
        <f t="shared" si="2"/>
        <v>1.2056370551419064</v>
      </c>
    </row>
    <row r="87" spans="1:9" x14ac:dyDescent="0.3">
      <c r="A87" t="s">
        <v>88</v>
      </c>
      <c r="B87">
        <v>100</v>
      </c>
      <c r="C87">
        <v>6.6100000000000006E-2</v>
      </c>
      <c r="D87">
        <v>7.0199999999999999E-2</v>
      </c>
      <c r="E87">
        <v>4.1287000000000003</v>
      </c>
      <c r="F87">
        <v>98591.4</v>
      </c>
      <c r="G87">
        <f t="shared" si="3"/>
        <v>98.573162944858097</v>
      </c>
      <c r="H87">
        <v>99.778800000000004</v>
      </c>
      <c r="I87">
        <f t="shared" si="2"/>
        <v>0.61772707111072123</v>
      </c>
    </row>
    <row r="88" spans="1:9" x14ac:dyDescent="0.3">
      <c r="A88" t="s">
        <v>89</v>
      </c>
      <c r="B88">
        <v>100</v>
      </c>
      <c r="C88">
        <v>6.6199999999999995E-2</v>
      </c>
      <c r="D88">
        <v>7.7899999999999997E-2</v>
      </c>
      <c r="E88">
        <v>5.0568</v>
      </c>
      <c r="F88">
        <v>95230.2</v>
      </c>
      <c r="G88">
        <f t="shared" si="3"/>
        <v>95.258672928889283</v>
      </c>
      <c r="H88">
        <v>95.876400000000004</v>
      </c>
      <c r="I88">
        <f t="shared" si="2"/>
        <v>0.35191414573242241</v>
      </c>
    </row>
    <row r="89" spans="1:9" x14ac:dyDescent="0.3">
      <c r="A89" t="s">
        <v>90</v>
      </c>
      <c r="B89">
        <v>100</v>
      </c>
      <c r="C89">
        <v>7.7499999999999999E-2</v>
      </c>
      <c r="D89">
        <v>7.3499999999999996E-2</v>
      </c>
      <c r="E89">
        <v>6.5625999999999998</v>
      </c>
      <c r="F89">
        <v>20407.599999999999</v>
      </c>
      <c r="G89">
        <f t="shared" si="3"/>
        <v>102.02528585426758</v>
      </c>
      <c r="H89">
        <v>102.3772</v>
      </c>
      <c r="I89">
        <f t="shared" ref="I89:I152" si="4">H90-G90</f>
        <v>0.31280918834382021</v>
      </c>
    </row>
    <row r="90" spans="1:9" x14ac:dyDescent="0.3">
      <c r="A90" t="s">
        <v>91</v>
      </c>
      <c r="B90">
        <v>100</v>
      </c>
      <c r="C90">
        <v>7.0400000000000004E-2</v>
      </c>
      <c r="D90">
        <v>7.9899999999999999E-2</v>
      </c>
      <c r="E90">
        <v>3.4058999999999999</v>
      </c>
      <c r="F90">
        <v>97509.6</v>
      </c>
      <c r="G90">
        <f t="shared" si="3"/>
        <v>97.261290811656181</v>
      </c>
      <c r="H90">
        <v>97.574100000000001</v>
      </c>
      <c r="I90">
        <f t="shared" si="4"/>
        <v>1.4081738507749719</v>
      </c>
    </row>
    <row r="91" spans="1:9" x14ac:dyDescent="0.3">
      <c r="A91" t="s">
        <v>92</v>
      </c>
      <c r="B91">
        <v>100</v>
      </c>
      <c r="C91">
        <v>7.0800000000000002E-2</v>
      </c>
      <c r="D91">
        <v>7.4999999999999997E-2</v>
      </c>
      <c r="E91">
        <v>2.5160999999999998</v>
      </c>
      <c r="F91">
        <v>495292.5</v>
      </c>
      <c r="G91">
        <f t="shared" si="3"/>
        <v>99.06832614922503</v>
      </c>
      <c r="H91">
        <v>100.4765</v>
      </c>
      <c r="I91">
        <f t="shared" si="4"/>
        <v>7.9439919349439947E-2</v>
      </c>
    </row>
    <row r="92" spans="1:9" x14ac:dyDescent="0.3">
      <c r="A92" t="s">
        <v>93</v>
      </c>
      <c r="B92">
        <v>100</v>
      </c>
      <c r="C92">
        <v>7.0199999999999999E-2</v>
      </c>
      <c r="D92">
        <v>7.17E-2</v>
      </c>
      <c r="E92">
        <v>3.6057000000000001</v>
      </c>
      <c r="F92">
        <v>49771.45</v>
      </c>
      <c r="G92">
        <f t="shared" si="3"/>
        <v>99.537760080650557</v>
      </c>
      <c r="H92">
        <v>99.617199999999997</v>
      </c>
      <c r="I92">
        <f t="shared" si="4"/>
        <v>0.68384093143457392</v>
      </c>
    </row>
    <row r="93" spans="1:9" x14ac:dyDescent="0.3">
      <c r="A93" t="s">
        <v>94</v>
      </c>
      <c r="B93">
        <v>100</v>
      </c>
      <c r="C93">
        <v>7.6499999999999999E-2</v>
      </c>
      <c r="D93">
        <v>7.0699999999999999E-2</v>
      </c>
      <c r="E93">
        <v>9.1828000000000003</v>
      </c>
      <c r="F93">
        <v>519069.5</v>
      </c>
      <c r="G93">
        <f t="shared" si="3"/>
        <v>103.82265906856543</v>
      </c>
      <c r="H93">
        <v>104.5065</v>
      </c>
      <c r="I93">
        <f t="shared" si="4"/>
        <v>0.9334135821620464</v>
      </c>
    </row>
    <row r="94" spans="1:9" x14ac:dyDescent="0.3">
      <c r="A94" t="s">
        <v>95</v>
      </c>
      <c r="B94">
        <v>100</v>
      </c>
      <c r="C94">
        <v>7.0300000000000001E-2</v>
      </c>
      <c r="D94">
        <v>7.1099999999999997E-2</v>
      </c>
      <c r="E94">
        <v>4.9992999999999999</v>
      </c>
      <c r="F94">
        <v>199393</v>
      </c>
      <c r="G94">
        <f t="shared" si="3"/>
        <v>99.672986417837947</v>
      </c>
      <c r="H94">
        <v>100.60639999999999</v>
      </c>
      <c r="I94">
        <f t="shared" si="4"/>
        <v>1.784772431726168</v>
      </c>
    </row>
    <row r="95" spans="1:9" x14ac:dyDescent="0.3">
      <c r="A95" t="s">
        <v>96</v>
      </c>
      <c r="B95">
        <v>100</v>
      </c>
      <c r="C95">
        <v>7.2700000000000001E-2</v>
      </c>
      <c r="D95">
        <v>7.0900000000000005E-2</v>
      </c>
      <c r="E95">
        <v>7.7098000000000004</v>
      </c>
      <c r="F95">
        <v>202066.6</v>
      </c>
      <c r="G95">
        <f t="shared" si="3"/>
        <v>101.04162756827384</v>
      </c>
      <c r="H95">
        <v>102.82640000000001</v>
      </c>
      <c r="I95">
        <f t="shared" si="4"/>
        <v>1.1953639072056603</v>
      </c>
    </row>
    <row r="96" spans="1:9" x14ac:dyDescent="0.3">
      <c r="A96" t="s">
        <v>97</v>
      </c>
      <c r="B96">
        <v>100</v>
      </c>
      <c r="C96">
        <v>8.1699999999999995E-2</v>
      </c>
      <c r="D96">
        <v>7.7899999999999997E-2</v>
      </c>
      <c r="E96">
        <v>12.547599999999999</v>
      </c>
      <c r="F96">
        <v>5150.07</v>
      </c>
      <c r="G96">
        <f t="shared" si="3"/>
        <v>102.97493609279434</v>
      </c>
      <c r="H96">
        <v>104.1703</v>
      </c>
      <c r="I96">
        <f t="shared" si="4"/>
        <v>0.18053579262193864</v>
      </c>
    </row>
    <row r="97" spans="1:9" x14ac:dyDescent="0.3">
      <c r="A97" t="s">
        <v>98</v>
      </c>
      <c r="B97">
        <v>100</v>
      </c>
      <c r="C97">
        <v>6.6299999999999998E-2</v>
      </c>
      <c r="D97">
        <v>7.4499999999999997E-2</v>
      </c>
      <c r="E97">
        <v>3.0034000000000001</v>
      </c>
      <c r="F97">
        <v>195662.6</v>
      </c>
      <c r="G97">
        <f t="shared" si="3"/>
        <v>97.863464207378058</v>
      </c>
      <c r="H97">
        <v>98.043999999999997</v>
      </c>
      <c r="I97">
        <f t="shared" si="4"/>
        <v>0.48468928954393675</v>
      </c>
    </row>
    <row r="98" spans="1:9" x14ac:dyDescent="0.3">
      <c r="A98" t="s">
        <v>99</v>
      </c>
      <c r="B98">
        <v>100</v>
      </c>
      <c r="C98">
        <v>8.09E-2</v>
      </c>
      <c r="D98">
        <v>7.9399999999999998E-2</v>
      </c>
      <c r="E98">
        <v>3.77</v>
      </c>
      <c r="F98">
        <v>20090.14</v>
      </c>
      <c r="G98">
        <f t="shared" si="3"/>
        <v>100.47281071045606</v>
      </c>
      <c r="H98">
        <v>100.9575</v>
      </c>
      <c r="I98">
        <f t="shared" si="4"/>
        <v>1.5860327868034716</v>
      </c>
    </row>
    <row r="99" spans="1:9" x14ac:dyDescent="0.3">
      <c r="A99" t="s">
        <v>100</v>
      </c>
      <c r="B99">
        <v>100</v>
      </c>
      <c r="C99">
        <v>7.6200000000000004E-2</v>
      </c>
      <c r="D99">
        <v>7.3400000000000007E-2</v>
      </c>
      <c r="E99">
        <v>1.7741</v>
      </c>
      <c r="F99">
        <v>100391</v>
      </c>
      <c r="G99">
        <f t="shared" si="3"/>
        <v>100.45046721319653</v>
      </c>
      <c r="H99">
        <v>102.0365</v>
      </c>
      <c r="I99">
        <f t="shared" si="4"/>
        <v>0.86589652390127014</v>
      </c>
    </row>
    <row r="100" spans="1:9" x14ac:dyDescent="0.3">
      <c r="A100" t="s">
        <v>101</v>
      </c>
      <c r="B100">
        <v>100</v>
      </c>
      <c r="C100">
        <v>7.5899999999999995E-2</v>
      </c>
      <c r="D100">
        <v>7.8E-2</v>
      </c>
      <c r="E100">
        <v>3.6002999999999998</v>
      </c>
      <c r="F100">
        <v>198734.8</v>
      </c>
      <c r="G100">
        <f t="shared" si="3"/>
        <v>99.362103476098724</v>
      </c>
      <c r="H100">
        <v>100.22799999999999</v>
      </c>
      <c r="I100">
        <f t="shared" si="4"/>
        <v>0.11085658547166588</v>
      </c>
    </row>
    <row r="101" spans="1:9" x14ac:dyDescent="0.3">
      <c r="A101" t="s">
        <v>102</v>
      </c>
      <c r="B101">
        <v>100</v>
      </c>
      <c r="C101">
        <v>7.7499999999999999E-2</v>
      </c>
      <c r="D101">
        <v>7.1300000000000002E-2</v>
      </c>
      <c r="E101">
        <v>0.67349999999999999</v>
      </c>
      <c r="F101">
        <v>20059.86</v>
      </c>
      <c r="G101">
        <f t="shared" si="3"/>
        <v>100.39414341452833</v>
      </c>
      <c r="H101">
        <v>100.505</v>
      </c>
      <c r="I101">
        <f t="shared" si="4"/>
        <v>1.5195612173583726</v>
      </c>
    </row>
    <row r="102" spans="1:9" x14ac:dyDescent="0.3">
      <c r="A102" t="s">
        <v>103</v>
      </c>
      <c r="B102">
        <v>100</v>
      </c>
      <c r="C102">
        <v>7.2099999999999997E-2</v>
      </c>
      <c r="D102">
        <v>7.9299999999999995E-2</v>
      </c>
      <c r="E102">
        <v>1.2457</v>
      </c>
      <c r="F102">
        <v>198641.4</v>
      </c>
      <c r="G102">
        <f t="shared" si="3"/>
        <v>99.176638782641632</v>
      </c>
      <c r="H102">
        <v>100.6962</v>
      </c>
      <c r="I102">
        <f t="shared" si="4"/>
        <v>0.88120000000000687</v>
      </c>
    </row>
    <row r="103" spans="1:9" x14ac:dyDescent="0.3">
      <c r="A103" t="s">
        <v>104</v>
      </c>
      <c r="B103">
        <v>100</v>
      </c>
      <c r="C103">
        <v>7.4899999999999994E-2</v>
      </c>
      <c r="D103">
        <v>7.4899999999999994E-2</v>
      </c>
      <c r="E103">
        <v>2.3984000000000001</v>
      </c>
      <c r="F103">
        <v>500000</v>
      </c>
      <c r="G103">
        <f t="shared" si="3"/>
        <v>100</v>
      </c>
      <c r="H103">
        <v>100.88120000000001</v>
      </c>
      <c r="I103">
        <f t="shared" si="4"/>
        <v>1.0054915765965404</v>
      </c>
    </row>
    <row r="104" spans="1:9" x14ac:dyDescent="0.3">
      <c r="A104" t="s">
        <v>105</v>
      </c>
      <c r="B104">
        <v>100</v>
      </c>
      <c r="C104">
        <v>7.46E-2</v>
      </c>
      <c r="D104">
        <v>7.0699999999999999E-2</v>
      </c>
      <c r="E104">
        <v>3.6276999999999999</v>
      </c>
      <c r="F104">
        <v>101190.8</v>
      </c>
      <c r="G104">
        <f t="shared" si="3"/>
        <v>101.21080842340346</v>
      </c>
      <c r="H104">
        <v>102.2163</v>
      </c>
      <c r="I104">
        <f t="shared" si="4"/>
        <v>0.91973556500458642</v>
      </c>
    </row>
    <row r="105" spans="1:9" x14ac:dyDescent="0.3">
      <c r="A105" t="s">
        <v>106</v>
      </c>
      <c r="B105">
        <v>100</v>
      </c>
      <c r="C105">
        <v>7.1800000000000003E-2</v>
      </c>
      <c r="D105">
        <v>7.1400000000000005E-2</v>
      </c>
      <c r="E105">
        <v>2.4093</v>
      </c>
      <c r="F105">
        <v>20014.66</v>
      </c>
      <c r="G105">
        <f t="shared" si="3"/>
        <v>100.08576443499541</v>
      </c>
      <c r="H105">
        <v>101.0055</v>
      </c>
      <c r="I105">
        <f t="shared" si="4"/>
        <v>0.72865238622115669</v>
      </c>
    </row>
    <row r="106" spans="1:9" x14ac:dyDescent="0.3">
      <c r="A106" t="s">
        <v>107</v>
      </c>
      <c r="B106">
        <v>100</v>
      </c>
      <c r="C106">
        <v>7.9100000000000004E-2</v>
      </c>
      <c r="D106">
        <v>7.5600000000000001E-2</v>
      </c>
      <c r="E106">
        <v>5.5989000000000004</v>
      </c>
      <c r="F106">
        <v>50775.7</v>
      </c>
      <c r="G106">
        <f t="shared" si="3"/>
        <v>101.55114761377884</v>
      </c>
      <c r="H106">
        <v>102.27979999999999</v>
      </c>
      <c r="I106">
        <f t="shared" si="4"/>
        <v>0.34558459399816854</v>
      </c>
    </row>
    <row r="107" spans="1:9" x14ac:dyDescent="0.3">
      <c r="A107" t="s">
        <v>108</v>
      </c>
      <c r="B107">
        <v>100</v>
      </c>
      <c r="C107">
        <v>7.4899999999999994E-2</v>
      </c>
      <c r="D107">
        <v>7.7200000000000005E-2</v>
      </c>
      <c r="E107">
        <v>2.4037999999999999</v>
      </c>
      <c r="F107">
        <v>497906</v>
      </c>
      <c r="G107">
        <f t="shared" si="3"/>
        <v>99.512315406001832</v>
      </c>
      <c r="H107">
        <v>99.857900000000001</v>
      </c>
      <c r="I107">
        <f t="shared" si="4"/>
        <v>0.17001056571577067</v>
      </c>
    </row>
    <row r="108" spans="1:9" x14ac:dyDescent="0.3">
      <c r="A108" t="s">
        <v>109</v>
      </c>
      <c r="B108">
        <v>100</v>
      </c>
      <c r="C108">
        <v>7.1999999999999995E-2</v>
      </c>
      <c r="D108">
        <v>7.4700000000000003E-2</v>
      </c>
      <c r="E108">
        <v>5.9356999999999998</v>
      </c>
      <c r="F108">
        <v>494001.5</v>
      </c>
      <c r="G108">
        <f t="shared" si="3"/>
        <v>98.742389434284235</v>
      </c>
      <c r="H108">
        <v>98.912400000000005</v>
      </c>
      <c r="I108">
        <f t="shared" si="4"/>
        <v>0.53095594945692426</v>
      </c>
    </row>
    <row r="109" spans="1:9" x14ac:dyDescent="0.3">
      <c r="A109" t="s">
        <v>110</v>
      </c>
      <c r="B109">
        <v>100</v>
      </c>
      <c r="C109">
        <v>7.4300000000000005E-2</v>
      </c>
      <c r="D109">
        <v>7.7200000000000005E-2</v>
      </c>
      <c r="E109">
        <v>3.2361</v>
      </c>
      <c r="F109">
        <v>198472.8</v>
      </c>
      <c r="G109">
        <f t="shared" si="3"/>
        <v>99.196544050543082</v>
      </c>
      <c r="H109">
        <v>99.727500000000006</v>
      </c>
      <c r="I109">
        <f t="shared" si="4"/>
        <v>1.1111844350827198</v>
      </c>
    </row>
    <row r="110" spans="1:9" x14ac:dyDescent="0.3">
      <c r="A110" t="s">
        <v>111</v>
      </c>
      <c r="B110">
        <v>100</v>
      </c>
      <c r="C110">
        <v>7.3200000000000001E-2</v>
      </c>
      <c r="D110">
        <v>7.8E-2</v>
      </c>
      <c r="E110">
        <v>1.1636</v>
      </c>
      <c r="F110">
        <v>19909.34</v>
      </c>
      <c r="G110">
        <f t="shared" si="3"/>
        <v>99.485015564917276</v>
      </c>
      <c r="H110">
        <v>100.5962</v>
      </c>
      <c r="I110">
        <f t="shared" si="4"/>
        <v>1.1124742840564323</v>
      </c>
    </row>
    <row r="111" spans="1:9" x14ac:dyDescent="0.3">
      <c r="A111" t="s">
        <v>112</v>
      </c>
      <c r="B111">
        <v>100</v>
      </c>
      <c r="C111">
        <v>6.8599999999999994E-2</v>
      </c>
      <c r="D111">
        <v>7.5600000000000001E-2</v>
      </c>
      <c r="E111">
        <v>7.7836999999999996</v>
      </c>
      <c r="F111">
        <v>19209.599999999999</v>
      </c>
      <c r="G111">
        <f t="shared" si="3"/>
        <v>95.991425715943564</v>
      </c>
      <c r="H111">
        <v>97.103899999999996</v>
      </c>
      <c r="I111">
        <f t="shared" si="4"/>
        <v>1.2636440575303993</v>
      </c>
    </row>
    <row r="112" spans="1:9" x14ac:dyDescent="0.3">
      <c r="A112" t="s">
        <v>113</v>
      </c>
      <c r="B112">
        <v>100</v>
      </c>
      <c r="C112">
        <v>7.0099999999999996E-2</v>
      </c>
      <c r="D112">
        <v>7.7100000000000002E-2</v>
      </c>
      <c r="E112">
        <v>0.70089999999999997</v>
      </c>
      <c r="F112">
        <v>199326</v>
      </c>
      <c r="G112">
        <f t="shared" si="3"/>
        <v>99.539455942469601</v>
      </c>
      <c r="H112">
        <v>100.8031</v>
      </c>
      <c r="I112">
        <f t="shared" si="4"/>
        <v>-0.46188190923142258</v>
      </c>
    </row>
    <row r="113" spans="1:9" x14ac:dyDescent="0.3">
      <c r="A113" t="s">
        <v>114</v>
      </c>
      <c r="B113">
        <v>100</v>
      </c>
      <c r="C113">
        <v>8.9899999999999994E-2</v>
      </c>
      <c r="D113">
        <v>7.7399999999999997E-2</v>
      </c>
      <c r="E113">
        <v>1.9849000000000001</v>
      </c>
      <c r="F113">
        <v>203477.4</v>
      </c>
      <c r="G113">
        <f t="shared" si="3"/>
        <v>102.22138190923143</v>
      </c>
      <c r="H113">
        <v>101.7595</v>
      </c>
      <c r="I113">
        <f t="shared" si="4"/>
        <v>1.4354826816852153</v>
      </c>
    </row>
    <row r="114" spans="1:9" x14ac:dyDescent="0.3">
      <c r="A114" t="s">
        <v>115</v>
      </c>
      <c r="B114">
        <v>100</v>
      </c>
      <c r="C114">
        <v>7.6600000000000001E-2</v>
      </c>
      <c r="D114">
        <v>8.43E-2</v>
      </c>
      <c r="E114">
        <v>3.3128000000000002</v>
      </c>
      <c r="F114">
        <v>4899.79</v>
      </c>
      <c r="G114">
        <f t="shared" si="3"/>
        <v>97.851817318314787</v>
      </c>
      <c r="H114">
        <v>99.287300000000002</v>
      </c>
      <c r="I114">
        <f t="shared" si="4"/>
        <v>1.2094999300070128</v>
      </c>
    </row>
    <row r="115" spans="1:9" x14ac:dyDescent="0.3">
      <c r="A115" t="s">
        <v>116</v>
      </c>
      <c r="B115">
        <v>100</v>
      </c>
      <c r="C115">
        <v>7.6499999999999999E-2</v>
      </c>
      <c r="D115">
        <v>0.08</v>
      </c>
      <c r="E115">
        <v>4.4709000000000003</v>
      </c>
      <c r="F115">
        <v>49410.9</v>
      </c>
      <c r="G115">
        <f t="shared" si="3"/>
        <v>98.726300069992988</v>
      </c>
      <c r="H115">
        <v>99.9358</v>
      </c>
      <c r="I115">
        <f t="shared" si="4"/>
        <v>1.2278958614104312</v>
      </c>
    </row>
    <row r="116" spans="1:9" x14ac:dyDescent="0.3">
      <c r="A116" t="s">
        <v>117</v>
      </c>
      <c r="B116">
        <v>100</v>
      </c>
      <c r="C116">
        <v>8.3799999999999999E-2</v>
      </c>
      <c r="D116">
        <v>7.7899999999999997E-2</v>
      </c>
      <c r="E116">
        <v>3.6604999999999999</v>
      </c>
      <c r="F116">
        <v>10177.75</v>
      </c>
      <c r="G116">
        <f t="shared" si="3"/>
        <v>101.81860413858956</v>
      </c>
      <c r="H116">
        <v>103.04649999999999</v>
      </c>
      <c r="I116">
        <f t="shared" si="4"/>
        <v>0.87304738692986916</v>
      </c>
    </row>
    <row r="117" spans="1:9" x14ac:dyDescent="0.3">
      <c r="A117" t="s">
        <v>118</v>
      </c>
      <c r="B117">
        <v>100</v>
      </c>
      <c r="C117">
        <v>7.1599999999999997E-2</v>
      </c>
      <c r="D117">
        <v>8.2100000000000006E-2</v>
      </c>
      <c r="E117">
        <v>2.3765000000000001</v>
      </c>
      <c r="F117">
        <v>98099</v>
      </c>
      <c r="G117">
        <f t="shared" si="3"/>
        <v>97.813252613070134</v>
      </c>
      <c r="H117">
        <v>98.686300000000003</v>
      </c>
      <c r="I117">
        <f t="shared" si="4"/>
        <v>1.6710769315597958</v>
      </c>
    </row>
    <row r="118" spans="1:9" x14ac:dyDescent="0.3">
      <c r="A118" t="s">
        <v>119</v>
      </c>
      <c r="B118">
        <v>100</v>
      </c>
      <c r="C118">
        <v>7.8299999999999995E-2</v>
      </c>
      <c r="D118">
        <v>8.3699999999999997E-2</v>
      </c>
      <c r="E118">
        <v>0.94179999999999997</v>
      </c>
      <c r="F118">
        <v>19948.16</v>
      </c>
      <c r="G118">
        <f t="shared" si="3"/>
        <v>99.529623068440202</v>
      </c>
      <c r="H118">
        <v>101.2007</v>
      </c>
      <c r="I118">
        <f t="shared" si="4"/>
        <v>1.8414215953504822</v>
      </c>
    </row>
    <row r="119" spans="1:9" x14ac:dyDescent="0.3">
      <c r="A119" t="s">
        <v>120</v>
      </c>
      <c r="B119">
        <v>100</v>
      </c>
      <c r="C119">
        <v>7.7499999999999999E-2</v>
      </c>
      <c r="D119">
        <v>8.6900000000000005E-2</v>
      </c>
      <c r="E119">
        <v>4.3586999999999998</v>
      </c>
      <c r="F119">
        <v>48440.1</v>
      </c>
      <c r="G119">
        <f t="shared" si="3"/>
        <v>96.705578404649515</v>
      </c>
      <c r="H119">
        <v>98.546999999999997</v>
      </c>
      <c r="I119">
        <f t="shared" si="4"/>
        <v>1.7495847312387269</v>
      </c>
    </row>
    <row r="120" spans="1:9" x14ac:dyDescent="0.3">
      <c r="A120" t="s">
        <v>121</v>
      </c>
      <c r="B120">
        <v>100</v>
      </c>
      <c r="C120">
        <v>7.4999999999999997E-2</v>
      </c>
      <c r="D120">
        <v>7.7499999999999999E-2</v>
      </c>
      <c r="E120">
        <v>5.5660999999999996</v>
      </c>
      <c r="F120">
        <v>197795</v>
      </c>
      <c r="G120">
        <f t="shared" si="3"/>
        <v>98.903315268761276</v>
      </c>
      <c r="H120">
        <v>100.6529</v>
      </c>
      <c r="I120">
        <f t="shared" si="4"/>
        <v>1.4732025402912399</v>
      </c>
    </row>
    <row r="121" spans="1:9" x14ac:dyDescent="0.3">
      <c r="A121" t="s">
        <v>122</v>
      </c>
      <c r="B121">
        <v>100</v>
      </c>
      <c r="C121">
        <v>7.4300000000000005E-2</v>
      </c>
      <c r="D121">
        <v>8.7900000000000006E-2</v>
      </c>
      <c r="E121">
        <v>1.3607</v>
      </c>
      <c r="F121">
        <v>9872.4699999999993</v>
      </c>
      <c r="G121">
        <f t="shared" si="3"/>
        <v>98.324197459708756</v>
      </c>
      <c r="H121">
        <v>99.797399999999996</v>
      </c>
      <c r="I121">
        <f t="shared" si="4"/>
        <v>1.058733108452202</v>
      </c>
    </row>
    <row r="122" spans="1:9" x14ac:dyDescent="0.3">
      <c r="A122" t="s">
        <v>123</v>
      </c>
      <c r="B122">
        <v>100</v>
      </c>
      <c r="C122">
        <v>8.2500000000000004E-2</v>
      </c>
      <c r="D122">
        <v>7.5600000000000001E-2</v>
      </c>
      <c r="E122">
        <v>3.6084999999999998</v>
      </c>
      <c r="F122">
        <v>20417.52</v>
      </c>
      <c r="G122">
        <f t="shared" si="3"/>
        <v>102.1105668915478</v>
      </c>
      <c r="H122">
        <v>103.16930000000001</v>
      </c>
      <c r="I122">
        <f t="shared" si="4"/>
        <v>0.64304352640026252</v>
      </c>
    </row>
    <row r="123" spans="1:9" x14ac:dyDescent="0.3">
      <c r="A123" t="s">
        <v>124</v>
      </c>
      <c r="B123">
        <v>100</v>
      </c>
      <c r="C123">
        <v>8.8300000000000003E-2</v>
      </c>
      <c r="D123">
        <v>8.0399999999999999E-2</v>
      </c>
      <c r="E123">
        <v>5.7823000000000002</v>
      </c>
      <c r="F123">
        <v>103456.7</v>
      </c>
      <c r="G123">
        <f t="shared" si="3"/>
        <v>103.54275647359974</v>
      </c>
      <c r="H123">
        <v>104.1858</v>
      </c>
      <c r="I123">
        <f t="shared" si="4"/>
        <v>1.7083805385152004</v>
      </c>
    </row>
    <row r="124" spans="1:9" x14ac:dyDescent="0.3">
      <c r="A124" t="s">
        <v>125</v>
      </c>
      <c r="B124">
        <v>100</v>
      </c>
      <c r="C124">
        <v>7.3800000000000004E-2</v>
      </c>
      <c r="D124">
        <v>7.7700000000000005E-2</v>
      </c>
      <c r="E124">
        <v>7.5427999999999997</v>
      </c>
      <c r="F124">
        <v>19562.88</v>
      </c>
      <c r="G124">
        <f t="shared" si="3"/>
        <v>97.835119461484794</v>
      </c>
      <c r="H124">
        <v>99.543499999999995</v>
      </c>
      <c r="I124">
        <f t="shared" si="4"/>
        <v>0.64184858449574733</v>
      </c>
    </row>
    <row r="125" spans="1:9" x14ac:dyDescent="0.3">
      <c r="A125" t="s">
        <v>126</v>
      </c>
      <c r="B125">
        <v>100</v>
      </c>
      <c r="C125">
        <v>8.0699999999999994E-2</v>
      </c>
      <c r="D125">
        <v>7.9699999999999993E-2</v>
      </c>
      <c r="E125">
        <v>4.6489000000000003</v>
      </c>
      <c r="F125">
        <v>50186</v>
      </c>
      <c r="G125">
        <f t="shared" si="3"/>
        <v>100.37625141550426</v>
      </c>
      <c r="H125">
        <v>101.0181</v>
      </c>
      <c r="I125">
        <f t="shared" si="4"/>
        <v>1.4551599666794885</v>
      </c>
    </row>
    <row r="126" spans="1:9" x14ac:dyDescent="0.3">
      <c r="A126" t="s">
        <v>127</v>
      </c>
      <c r="B126">
        <v>100</v>
      </c>
      <c r="C126">
        <v>7.6600000000000001E-2</v>
      </c>
      <c r="D126">
        <v>7.8200000000000006E-2</v>
      </c>
      <c r="E126">
        <v>3.5099</v>
      </c>
      <c r="F126">
        <v>99518.2</v>
      </c>
      <c r="G126">
        <f t="shared" si="3"/>
        <v>99.524840033320515</v>
      </c>
      <c r="H126">
        <v>100.98</v>
      </c>
      <c r="I126">
        <f t="shared" si="4"/>
        <v>-0.15005492246542929</v>
      </c>
    </row>
    <row r="127" spans="1:9" x14ac:dyDescent="0.3">
      <c r="A127" t="s">
        <v>128</v>
      </c>
      <c r="B127">
        <v>100</v>
      </c>
      <c r="C127">
        <v>8.9800000000000005E-2</v>
      </c>
      <c r="D127">
        <v>8.5900000000000004E-2</v>
      </c>
      <c r="E127">
        <v>0.97740000000000005</v>
      </c>
      <c r="F127">
        <v>5009.3500000000004</v>
      </c>
      <c r="G127">
        <f t="shared" si="3"/>
        <v>100.35135492246543</v>
      </c>
      <c r="H127">
        <v>100.2013</v>
      </c>
      <c r="I127">
        <f t="shared" si="4"/>
        <v>0.56474896687397802</v>
      </c>
    </row>
    <row r="128" spans="1:9" x14ac:dyDescent="0.3">
      <c r="A128" t="s">
        <v>129</v>
      </c>
      <c r="B128">
        <v>100</v>
      </c>
      <c r="C128">
        <v>8.8300000000000003E-2</v>
      </c>
      <c r="D128">
        <v>8.1900000000000001E-2</v>
      </c>
      <c r="E128">
        <v>8.3696000000000002</v>
      </c>
      <c r="F128">
        <v>51851.35</v>
      </c>
      <c r="G128">
        <f t="shared" si="3"/>
        <v>103.77085103312602</v>
      </c>
      <c r="H128">
        <v>104.3356</v>
      </c>
      <c r="I128">
        <f t="shared" si="4"/>
        <v>0.76783363812856464</v>
      </c>
    </row>
    <row r="129" spans="1:9" x14ac:dyDescent="0.3">
      <c r="A129" t="s">
        <v>130</v>
      </c>
      <c r="B129">
        <v>100</v>
      </c>
      <c r="C129">
        <v>7.5300000000000006E-2</v>
      </c>
      <c r="D129">
        <v>8.7499999999999994E-2</v>
      </c>
      <c r="E129">
        <v>6.9432</v>
      </c>
      <c r="F129">
        <v>47024.05</v>
      </c>
      <c r="G129">
        <f t="shared" si="3"/>
        <v>93.844966361871428</v>
      </c>
      <c r="H129">
        <v>94.612799999999993</v>
      </c>
      <c r="I129">
        <f t="shared" si="4"/>
        <v>0.6704317939351796</v>
      </c>
    </row>
    <row r="130" spans="1:9" x14ac:dyDescent="0.3">
      <c r="A130" t="s">
        <v>131</v>
      </c>
      <c r="B130">
        <v>100</v>
      </c>
      <c r="C130">
        <v>7.17E-2</v>
      </c>
      <c r="D130">
        <v>7.9299999999999995E-2</v>
      </c>
      <c r="E130">
        <v>2.9843000000000002</v>
      </c>
      <c r="F130">
        <v>491533</v>
      </c>
      <c r="G130">
        <f t="shared" si="3"/>
        <v>98.048068206064826</v>
      </c>
      <c r="H130">
        <v>98.718500000000006</v>
      </c>
      <c r="I130">
        <f t="shared" si="4"/>
        <v>1.5010472752279469</v>
      </c>
    </row>
    <row r="131" spans="1:9" x14ac:dyDescent="0.3">
      <c r="A131" t="s">
        <v>132</v>
      </c>
      <c r="B131">
        <v>100</v>
      </c>
      <c r="C131">
        <v>7.2900000000000006E-2</v>
      </c>
      <c r="D131">
        <v>7.8899999999999998E-2</v>
      </c>
      <c r="E131">
        <v>0.99929999999999997</v>
      </c>
      <c r="F131">
        <v>99711.4</v>
      </c>
      <c r="G131">
        <f t="shared" ref="G131:G194" si="5">B131*(C131*((1-(1+D131)^(-E131))/D131)+(1+D131)^(-E131))</f>
        <v>99.444252724772056</v>
      </c>
      <c r="H131">
        <v>100.9453</v>
      </c>
      <c r="I131">
        <f t="shared" si="4"/>
        <v>0.4129839122122263</v>
      </c>
    </row>
    <row r="132" spans="1:9" x14ac:dyDescent="0.3">
      <c r="A132" t="s">
        <v>133</v>
      </c>
      <c r="B132">
        <v>100</v>
      </c>
      <c r="C132">
        <v>8.2100000000000006E-2</v>
      </c>
      <c r="D132">
        <v>7.9200000000000007E-2</v>
      </c>
      <c r="E132">
        <v>0.71730000000000005</v>
      </c>
      <c r="F132">
        <v>200279</v>
      </c>
      <c r="G132">
        <f t="shared" si="5"/>
        <v>100.19481608778777</v>
      </c>
      <c r="H132">
        <v>100.6078</v>
      </c>
      <c r="I132">
        <f t="shared" si="4"/>
        <v>1.5117371884218898</v>
      </c>
    </row>
    <row r="133" spans="1:9" x14ac:dyDescent="0.3">
      <c r="A133" t="s">
        <v>134</v>
      </c>
      <c r="B133">
        <v>100</v>
      </c>
      <c r="C133">
        <v>7.7600000000000002E-2</v>
      </c>
      <c r="D133">
        <v>7.9100000000000004E-2</v>
      </c>
      <c r="E133">
        <v>1.2813000000000001</v>
      </c>
      <c r="F133">
        <v>4992.93</v>
      </c>
      <c r="G133">
        <f t="shared" si="5"/>
        <v>99.823762811578106</v>
      </c>
      <c r="H133">
        <v>101.3355</v>
      </c>
      <c r="I133">
        <f t="shared" si="4"/>
        <v>0.96702044245814989</v>
      </c>
    </row>
    <row r="134" spans="1:9" x14ac:dyDescent="0.3">
      <c r="A134" t="s">
        <v>135</v>
      </c>
      <c r="B134">
        <v>100</v>
      </c>
      <c r="C134">
        <v>8.2000000000000003E-2</v>
      </c>
      <c r="D134">
        <v>7.5200000000000003E-2</v>
      </c>
      <c r="E134">
        <v>1.3169</v>
      </c>
      <c r="F134">
        <v>50321.75</v>
      </c>
      <c r="G134">
        <f t="shared" si="5"/>
        <v>100.82347955754184</v>
      </c>
      <c r="H134">
        <v>101.79049999999999</v>
      </c>
      <c r="I134">
        <f t="shared" si="4"/>
        <v>1.3448335243690082</v>
      </c>
    </row>
    <row r="135" spans="1:9" x14ac:dyDescent="0.3">
      <c r="A135" t="s">
        <v>136</v>
      </c>
      <c r="B135">
        <v>100</v>
      </c>
      <c r="C135">
        <v>7.3300000000000004E-2</v>
      </c>
      <c r="D135">
        <v>8.1299999999999997E-2</v>
      </c>
      <c r="E135">
        <v>3.3921999999999999</v>
      </c>
      <c r="F135">
        <v>4895.38</v>
      </c>
      <c r="G135">
        <f t="shared" si="5"/>
        <v>97.708166475630989</v>
      </c>
      <c r="H135">
        <v>99.052999999999997</v>
      </c>
      <c r="I135">
        <f t="shared" si="4"/>
        <v>0.79846223679491857</v>
      </c>
    </row>
    <row r="136" spans="1:9" x14ac:dyDescent="0.3">
      <c r="A136" t="s">
        <v>137</v>
      </c>
      <c r="B136">
        <v>100</v>
      </c>
      <c r="C136">
        <v>7.8600000000000003E-2</v>
      </c>
      <c r="D136">
        <v>8.2799999999999999E-2</v>
      </c>
      <c r="E136">
        <v>2.5981999999999998</v>
      </c>
      <c r="F136">
        <v>198137.60000000001</v>
      </c>
      <c r="G136">
        <f t="shared" si="5"/>
        <v>99.052837763205076</v>
      </c>
      <c r="H136">
        <v>99.851299999999995</v>
      </c>
      <c r="I136">
        <f t="shared" si="4"/>
        <v>0.51323773107260706</v>
      </c>
    </row>
    <row r="137" spans="1:9" x14ac:dyDescent="0.3">
      <c r="A137" t="s">
        <v>138</v>
      </c>
      <c r="B137">
        <v>100</v>
      </c>
      <c r="C137">
        <v>7.3999999999999996E-2</v>
      </c>
      <c r="D137">
        <v>8.5000000000000006E-2</v>
      </c>
      <c r="E137">
        <v>7.8768000000000002</v>
      </c>
      <c r="F137">
        <v>4699.5200000000004</v>
      </c>
      <c r="G137">
        <f t="shared" si="5"/>
        <v>93.8649622689274</v>
      </c>
      <c r="H137">
        <v>94.378200000000007</v>
      </c>
      <c r="I137">
        <f t="shared" si="4"/>
        <v>1.9692589475035618</v>
      </c>
    </row>
    <row r="138" spans="1:9" x14ac:dyDescent="0.3">
      <c r="A138" t="s">
        <v>139</v>
      </c>
      <c r="B138">
        <v>100</v>
      </c>
      <c r="C138">
        <v>7.9000000000000001E-2</v>
      </c>
      <c r="D138">
        <v>8.1900000000000001E-2</v>
      </c>
      <c r="E138">
        <v>3.8412000000000002</v>
      </c>
      <c r="F138">
        <v>495663.5</v>
      </c>
      <c r="G138">
        <f t="shared" si="5"/>
        <v>99.076041052496436</v>
      </c>
      <c r="H138">
        <v>101.0453</v>
      </c>
      <c r="I138">
        <f t="shared" si="4"/>
        <v>1.029614333577797</v>
      </c>
    </row>
    <row r="139" spans="1:9" x14ac:dyDescent="0.3">
      <c r="A139" t="s">
        <v>140</v>
      </c>
      <c r="B139">
        <v>100</v>
      </c>
      <c r="C139">
        <v>7.1999999999999995E-2</v>
      </c>
      <c r="D139">
        <v>8.1699999999999995E-2</v>
      </c>
      <c r="E139">
        <v>2.4559000000000002</v>
      </c>
      <c r="F139">
        <v>98243</v>
      </c>
      <c r="G139">
        <f t="shared" si="5"/>
        <v>97.917385666422206</v>
      </c>
      <c r="H139">
        <v>98.947000000000003</v>
      </c>
      <c r="I139">
        <f t="shared" si="4"/>
        <v>0.1450649274755591</v>
      </c>
    </row>
    <row r="140" spans="1:9" x14ac:dyDescent="0.3">
      <c r="A140" t="s">
        <v>141</v>
      </c>
      <c r="B140">
        <v>100</v>
      </c>
      <c r="C140">
        <v>7.9100000000000004E-2</v>
      </c>
      <c r="D140">
        <v>7.9500000000000001E-2</v>
      </c>
      <c r="E140">
        <v>2.4148000000000001</v>
      </c>
      <c r="F140">
        <v>4996.37</v>
      </c>
      <c r="G140">
        <f t="shared" si="5"/>
        <v>99.915135072524436</v>
      </c>
      <c r="H140">
        <v>100.06019999999999</v>
      </c>
      <c r="I140">
        <f t="shared" si="4"/>
        <v>0.8636530218614098</v>
      </c>
    </row>
    <row r="141" spans="1:9" x14ac:dyDescent="0.3">
      <c r="A141" t="s">
        <v>142</v>
      </c>
      <c r="B141">
        <v>100</v>
      </c>
      <c r="C141">
        <v>7.6600000000000001E-2</v>
      </c>
      <c r="D141">
        <v>7.8E-2</v>
      </c>
      <c r="E141">
        <v>0.79120000000000001</v>
      </c>
      <c r="F141">
        <v>49966.3</v>
      </c>
      <c r="G141">
        <f t="shared" si="5"/>
        <v>99.896446978138584</v>
      </c>
      <c r="H141">
        <v>100.76009999999999</v>
      </c>
      <c r="I141">
        <f t="shared" si="4"/>
        <v>1.0542099696842229</v>
      </c>
    </row>
    <row r="142" spans="1:9" x14ac:dyDescent="0.3">
      <c r="A142" t="s">
        <v>143</v>
      </c>
      <c r="B142">
        <v>100</v>
      </c>
      <c r="C142">
        <v>8.1500000000000003E-2</v>
      </c>
      <c r="D142">
        <v>7.9200000000000007E-2</v>
      </c>
      <c r="E142">
        <v>7.8137999999999996</v>
      </c>
      <c r="F142">
        <v>50641.1</v>
      </c>
      <c r="G142">
        <f t="shared" si="5"/>
        <v>101.30319003031578</v>
      </c>
      <c r="H142">
        <v>102.3574</v>
      </c>
      <c r="I142">
        <f t="shared" si="4"/>
        <v>1.0165349825423249</v>
      </c>
    </row>
    <row r="143" spans="1:9" x14ac:dyDescent="0.3">
      <c r="A143" t="s">
        <v>144</v>
      </c>
      <c r="B143">
        <v>100</v>
      </c>
      <c r="C143">
        <v>8.8400000000000006E-2</v>
      </c>
      <c r="D143">
        <v>7.9100000000000004E-2</v>
      </c>
      <c r="E143">
        <v>1.1554</v>
      </c>
      <c r="F143">
        <v>10087.76</v>
      </c>
      <c r="G143">
        <f t="shared" si="5"/>
        <v>100.98996501745768</v>
      </c>
      <c r="H143">
        <v>102.0065</v>
      </c>
      <c r="I143">
        <f t="shared" si="4"/>
        <v>1.225482302443055</v>
      </c>
    </row>
    <row r="144" spans="1:9" x14ac:dyDescent="0.3">
      <c r="A144" t="s">
        <v>145</v>
      </c>
      <c r="B144">
        <v>100</v>
      </c>
      <c r="C144">
        <v>8.6800000000000002E-2</v>
      </c>
      <c r="D144">
        <v>8.7400000000000005E-2</v>
      </c>
      <c r="E144">
        <v>0.63519999999999999</v>
      </c>
      <c r="F144">
        <v>49985.65</v>
      </c>
      <c r="G144">
        <f t="shared" si="5"/>
        <v>99.964417697556939</v>
      </c>
      <c r="H144">
        <v>101.18989999999999</v>
      </c>
      <c r="I144">
        <f t="shared" si="4"/>
        <v>1.1375377352104152</v>
      </c>
    </row>
    <row r="145" spans="1:9" x14ac:dyDescent="0.3">
      <c r="A145" t="s">
        <v>146</v>
      </c>
      <c r="B145">
        <v>100</v>
      </c>
      <c r="C145">
        <v>7.0699999999999999E-2</v>
      </c>
      <c r="D145">
        <v>7.7200000000000005E-2</v>
      </c>
      <c r="E145">
        <v>2.3491</v>
      </c>
      <c r="F145">
        <v>49408.2</v>
      </c>
      <c r="G145">
        <f t="shared" si="5"/>
        <v>98.650462264789581</v>
      </c>
      <c r="H145">
        <v>99.787999999999997</v>
      </c>
      <c r="I145">
        <f t="shared" si="4"/>
        <v>0.98870933601374134</v>
      </c>
    </row>
    <row r="146" spans="1:9" x14ac:dyDescent="0.3">
      <c r="A146" t="s">
        <v>147</v>
      </c>
      <c r="B146">
        <v>100</v>
      </c>
      <c r="C146">
        <v>8.4699999999999998E-2</v>
      </c>
      <c r="D146">
        <v>8.7999999999999995E-2</v>
      </c>
      <c r="E146">
        <v>3.3073000000000001</v>
      </c>
      <c r="F146">
        <v>49573.1</v>
      </c>
      <c r="G146">
        <f t="shared" si="5"/>
        <v>99.087190663986263</v>
      </c>
      <c r="H146">
        <v>100.0759</v>
      </c>
      <c r="I146">
        <f t="shared" si="4"/>
        <v>1.1724811647980573</v>
      </c>
    </row>
    <row r="147" spans="1:9" x14ac:dyDescent="0.3">
      <c r="A147" t="s">
        <v>148</v>
      </c>
      <c r="B147">
        <v>100</v>
      </c>
      <c r="C147">
        <v>8.6099999999999996E-2</v>
      </c>
      <c r="D147">
        <v>8.2799999999999999E-2</v>
      </c>
      <c r="E147">
        <v>3.3046000000000002</v>
      </c>
      <c r="F147">
        <v>10086.1</v>
      </c>
      <c r="G147">
        <f t="shared" si="5"/>
        <v>100.92131883520194</v>
      </c>
      <c r="H147">
        <v>102.0938</v>
      </c>
      <c r="I147">
        <f t="shared" si="4"/>
        <v>0.91866120666819029</v>
      </c>
    </row>
    <row r="148" spans="1:9" x14ac:dyDescent="0.3">
      <c r="A148" t="s">
        <v>149</v>
      </c>
      <c r="B148">
        <v>100</v>
      </c>
      <c r="C148">
        <v>7.2800000000000004E-2</v>
      </c>
      <c r="D148">
        <v>7.9899999999999999E-2</v>
      </c>
      <c r="E148">
        <v>2.36</v>
      </c>
      <c r="F148">
        <v>4935.5600000000004</v>
      </c>
      <c r="G148">
        <f t="shared" si="5"/>
        <v>98.525738793331811</v>
      </c>
      <c r="H148">
        <v>99.444400000000002</v>
      </c>
      <c r="I148">
        <f t="shared" si="4"/>
        <v>0.31179148324886796</v>
      </c>
    </row>
    <row r="149" spans="1:9" x14ac:dyDescent="0.3">
      <c r="A149" t="s">
        <v>150</v>
      </c>
      <c r="B149">
        <v>100</v>
      </c>
      <c r="C149">
        <v>7.8E-2</v>
      </c>
      <c r="D149">
        <v>8.14E-2</v>
      </c>
      <c r="E149">
        <v>1.7276</v>
      </c>
      <c r="F149">
        <v>19905.78</v>
      </c>
      <c r="G149">
        <f t="shared" si="5"/>
        <v>99.471808516751139</v>
      </c>
      <c r="H149">
        <v>99.783600000000007</v>
      </c>
      <c r="I149">
        <f t="shared" si="4"/>
        <v>2.107712762464601</v>
      </c>
    </row>
    <row r="150" spans="1:9" x14ac:dyDescent="0.3">
      <c r="A150" t="s">
        <v>151</v>
      </c>
      <c r="B150">
        <v>100</v>
      </c>
      <c r="C150">
        <v>8.9800000000000005E-2</v>
      </c>
      <c r="D150">
        <v>8.4000000000000005E-2</v>
      </c>
      <c r="E150">
        <v>6.0808</v>
      </c>
      <c r="F150">
        <v>10269.040000000001</v>
      </c>
      <c r="G150">
        <f t="shared" si="5"/>
        <v>102.6766872375354</v>
      </c>
      <c r="H150">
        <v>104.78440000000001</v>
      </c>
      <c r="I150">
        <f t="shared" si="4"/>
        <v>-5.0727791671590694E-2</v>
      </c>
    </row>
    <row r="151" spans="1:9" x14ac:dyDescent="0.3">
      <c r="A151" t="s">
        <v>152</v>
      </c>
      <c r="B151">
        <v>100</v>
      </c>
      <c r="C151">
        <v>8.3099999999999993E-2</v>
      </c>
      <c r="D151">
        <v>8.1199999999999994E-2</v>
      </c>
      <c r="E151">
        <v>2.4969000000000001</v>
      </c>
      <c r="F151">
        <v>10034.44</v>
      </c>
      <c r="G151">
        <f t="shared" si="5"/>
        <v>100.41442779167159</v>
      </c>
      <c r="H151">
        <v>100.36369999999999</v>
      </c>
      <c r="I151">
        <f t="shared" si="4"/>
        <v>0.10000298375913985</v>
      </c>
    </row>
    <row r="152" spans="1:9" x14ac:dyDescent="0.3">
      <c r="A152" t="s">
        <v>153</v>
      </c>
      <c r="B152">
        <v>100</v>
      </c>
      <c r="C152">
        <v>8.7599999999999997E-2</v>
      </c>
      <c r="D152">
        <v>8.5599999999999996E-2</v>
      </c>
      <c r="E152">
        <v>2.3517999999999999</v>
      </c>
      <c r="F152">
        <v>501803</v>
      </c>
      <c r="G152">
        <f t="shared" si="5"/>
        <v>100.41039701624086</v>
      </c>
      <c r="H152">
        <v>100.5104</v>
      </c>
      <c r="I152">
        <f t="shared" si="4"/>
        <v>0.20536190329549697</v>
      </c>
    </row>
    <row r="153" spans="1:9" x14ac:dyDescent="0.3">
      <c r="A153" t="s">
        <v>154</v>
      </c>
      <c r="B153">
        <v>100</v>
      </c>
      <c r="C153">
        <v>8.7900000000000006E-2</v>
      </c>
      <c r="D153">
        <v>8.2699999999999996E-2</v>
      </c>
      <c r="E153">
        <v>1.2430000000000001</v>
      </c>
      <c r="F153">
        <v>50244.7</v>
      </c>
      <c r="G153">
        <f t="shared" si="5"/>
        <v>100.5913380967045</v>
      </c>
      <c r="H153">
        <v>100.7967</v>
      </c>
      <c r="I153">
        <f t="shared" ref="I153:I216" si="6">H154-G154</f>
        <v>1.0214035320562829</v>
      </c>
    </row>
    <row r="154" spans="1:9" x14ac:dyDescent="0.3">
      <c r="A154" t="s">
        <v>155</v>
      </c>
      <c r="B154">
        <v>100</v>
      </c>
      <c r="C154">
        <v>8.2100000000000006E-2</v>
      </c>
      <c r="D154">
        <v>7.8799999999999995E-2</v>
      </c>
      <c r="E154">
        <v>1.5085999999999999</v>
      </c>
      <c r="F154">
        <v>5022.92</v>
      </c>
      <c r="G154">
        <f t="shared" si="5"/>
        <v>100.45279646794371</v>
      </c>
      <c r="H154">
        <v>101.4742</v>
      </c>
      <c r="I154">
        <f t="shared" si="6"/>
        <v>0.58611729442887395</v>
      </c>
    </row>
    <row r="155" spans="1:9" x14ac:dyDescent="0.3">
      <c r="A155" t="s">
        <v>156</v>
      </c>
      <c r="B155">
        <v>100</v>
      </c>
      <c r="C155">
        <v>7.7299999999999994E-2</v>
      </c>
      <c r="D155">
        <v>8.7400000000000005E-2</v>
      </c>
      <c r="E155">
        <v>1.2129000000000001</v>
      </c>
      <c r="F155">
        <v>495262.5</v>
      </c>
      <c r="G155">
        <f t="shared" si="5"/>
        <v>98.883282705571119</v>
      </c>
      <c r="H155">
        <v>99.469399999999993</v>
      </c>
      <c r="I155">
        <f t="shared" si="6"/>
        <v>1.3749208181083077</v>
      </c>
    </row>
    <row r="156" spans="1:9" x14ac:dyDescent="0.3">
      <c r="A156" t="s">
        <v>157</v>
      </c>
      <c r="B156">
        <v>100</v>
      </c>
      <c r="C156">
        <v>7.17E-2</v>
      </c>
      <c r="D156">
        <v>7.7600000000000002E-2</v>
      </c>
      <c r="E156">
        <v>1.4783999999999999</v>
      </c>
      <c r="F156">
        <v>497213</v>
      </c>
      <c r="G156">
        <f t="shared" si="5"/>
        <v>99.204679181891692</v>
      </c>
      <c r="H156">
        <v>100.5796</v>
      </c>
      <c r="I156">
        <f t="shared" si="6"/>
        <v>1.0076538050643506</v>
      </c>
    </row>
    <row r="157" spans="1:9" x14ac:dyDescent="0.3">
      <c r="A157" t="s">
        <v>158</v>
      </c>
      <c r="B157">
        <v>100</v>
      </c>
      <c r="C157">
        <v>7.1099999999999997E-2</v>
      </c>
      <c r="D157">
        <v>8.4199999999999997E-2</v>
      </c>
      <c r="E157">
        <v>3.1402999999999999</v>
      </c>
      <c r="F157">
        <v>193179.6</v>
      </c>
      <c r="G157">
        <f t="shared" si="5"/>
        <v>96.511746194935654</v>
      </c>
      <c r="H157">
        <v>97.519400000000005</v>
      </c>
      <c r="I157">
        <f t="shared" si="6"/>
        <v>0.33570171928555226</v>
      </c>
    </row>
    <row r="158" spans="1:9" x14ac:dyDescent="0.3">
      <c r="A158" t="s">
        <v>159</v>
      </c>
      <c r="B158">
        <v>100</v>
      </c>
      <c r="C158">
        <v>8.4199999999999997E-2</v>
      </c>
      <c r="D158">
        <v>8.1600000000000006E-2</v>
      </c>
      <c r="E158">
        <v>1.5085999999999999</v>
      </c>
      <c r="F158">
        <v>5018.01</v>
      </c>
      <c r="G158">
        <f t="shared" si="5"/>
        <v>100.35559828071445</v>
      </c>
      <c r="H158">
        <v>100.6913</v>
      </c>
      <c r="I158">
        <f t="shared" si="6"/>
        <v>1.5793546406067946</v>
      </c>
    </row>
    <row r="159" spans="1:9" x14ac:dyDescent="0.3">
      <c r="A159" t="s">
        <v>160</v>
      </c>
      <c r="B159">
        <v>100</v>
      </c>
      <c r="C159">
        <v>7.7700000000000005E-2</v>
      </c>
      <c r="D159">
        <v>8.7499999999999994E-2</v>
      </c>
      <c r="E159">
        <v>2.9624000000000001</v>
      </c>
      <c r="F159">
        <v>4892.07</v>
      </c>
      <c r="G159">
        <f t="shared" si="5"/>
        <v>97.535745359393204</v>
      </c>
      <c r="H159">
        <v>99.115099999999998</v>
      </c>
      <c r="I159">
        <f t="shared" si="6"/>
        <v>1.7589282994235305</v>
      </c>
    </row>
    <row r="160" spans="1:9" x14ac:dyDescent="0.3">
      <c r="A160" t="s">
        <v>161</v>
      </c>
      <c r="B160">
        <v>100</v>
      </c>
      <c r="C160">
        <v>7.4499999999999997E-2</v>
      </c>
      <c r="D160">
        <v>8.7400000000000005E-2</v>
      </c>
      <c r="E160">
        <v>0.66800000000000004</v>
      </c>
      <c r="F160">
        <v>4969.1000000000004</v>
      </c>
      <c r="G160">
        <f t="shared" si="5"/>
        <v>99.19657170057647</v>
      </c>
      <c r="H160">
        <v>100.9555</v>
      </c>
      <c r="I160">
        <f t="shared" si="6"/>
        <v>0.29645533619414266</v>
      </c>
    </row>
    <row r="161" spans="1:9" x14ac:dyDescent="0.3">
      <c r="A161" t="s">
        <v>162</v>
      </c>
      <c r="B161">
        <v>100</v>
      </c>
      <c r="C161">
        <v>7.7399999999999997E-2</v>
      </c>
      <c r="D161">
        <v>8.5099999999999995E-2</v>
      </c>
      <c r="E161">
        <v>0.51749999999999996</v>
      </c>
      <c r="F161">
        <v>199261.4</v>
      </c>
      <c r="G161">
        <f t="shared" si="5"/>
        <v>99.625544663805854</v>
      </c>
      <c r="H161">
        <v>99.921999999999997</v>
      </c>
      <c r="I161">
        <f t="shared" si="6"/>
        <v>1.3159245530368224</v>
      </c>
    </row>
    <row r="162" spans="1:9" x14ac:dyDescent="0.3">
      <c r="A162" t="s">
        <v>163</v>
      </c>
      <c r="B162">
        <v>100</v>
      </c>
      <c r="C162">
        <v>9.9699999999999997E-2</v>
      </c>
      <c r="D162">
        <v>8.5900000000000004E-2</v>
      </c>
      <c r="E162">
        <v>2.5325000000000002</v>
      </c>
      <c r="F162">
        <v>10304.65</v>
      </c>
      <c r="G162">
        <f t="shared" si="5"/>
        <v>103.02607544696318</v>
      </c>
      <c r="H162">
        <v>104.342</v>
      </c>
      <c r="I162">
        <f t="shared" si="6"/>
        <v>0.26869028474162349</v>
      </c>
    </row>
    <row r="163" spans="1:9" x14ac:dyDescent="0.3">
      <c r="A163" t="s">
        <v>164</v>
      </c>
      <c r="B163">
        <v>100</v>
      </c>
      <c r="C163">
        <v>8.5199999999999998E-2</v>
      </c>
      <c r="D163">
        <v>9.0899999999999995E-2</v>
      </c>
      <c r="E163">
        <v>0.7228</v>
      </c>
      <c r="F163">
        <v>498637</v>
      </c>
      <c r="G163">
        <f t="shared" si="5"/>
        <v>99.617809715258375</v>
      </c>
      <c r="H163">
        <v>99.886499999999998</v>
      </c>
      <c r="I163">
        <f t="shared" si="6"/>
        <v>1.544499289836935</v>
      </c>
    </row>
    <row r="164" spans="1:9" x14ac:dyDescent="0.3">
      <c r="A164" t="s">
        <v>165</v>
      </c>
      <c r="B164">
        <v>100</v>
      </c>
      <c r="C164">
        <v>8.72E-2</v>
      </c>
      <c r="D164">
        <v>9.1999999999999998E-2</v>
      </c>
      <c r="E164">
        <v>1.5962000000000001</v>
      </c>
      <c r="F164">
        <v>496707.5</v>
      </c>
      <c r="G164">
        <f t="shared" si="5"/>
        <v>99.316200710163059</v>
      </c>
      <c r="H164">
        <v>100.86069999999999</v>
      </c>
      <c r="I164">
        <f t="shared" si="6"/>
        <v>-0.13090389885293519</v>
      </c>
    </row>
    <row r="165" spans="1:9" x14ac:dyDescent="0.3">
      <c r="A165" t="s">
        <v>166</v>
      </c>
      <c r="B165">
        <v>100</v>
      </c>
      <c r="C165">
        <v>9.7100000000000006E-2</v>
      </c>
      <c r="D165">
        <v>8.8700000000000001E-2</v>
      </c>
      <c r="E165">
        <v>1.7604</v>
      </c>
      <c r="F165">
        <v>50578</v>
      </c>
      <c r="G165">
        <f t="shared" si="5"/>
        <v>101.31590389885294</v>
      </c>
      <c r="H165">
        <v>101.185</v>
      </c>
      <c r="I165">
        <f t="shared" si="6"/>
        <v>2.0197266172787494</v>
      </c>
    </row>
    <row r="166" spans="1:9" x14ac:dyDescent="0.3">
      <c r="A166" t="s">
        <v>167</v>
      </c>
      <c r="B166">
        <v>100</v>
      </c>
      <c r="C166">
        <v>9.8000000000000004E-2</v>
      </c>
      <c r="D166">
        <v>8.6400000000000005E-2</v>
      </c>
      <c r="E166">
        <v>1.2621</v>
      </c>
      <c r="F166">
        <v>505444.5</v>
      </c>
      <c r="G166">
        <f t="shared" si="5"/>
        <v>101.33327338272125</v>
      </c>
      <c r="H166">
        <v>103.35299999999999</v>
      </c>
      <c r="I166">
        <f t="shared" si="6"/>
        <v>0.84833511197271605</v>
      </c>
    </row>
    <row r="167" spans="1:9" x14ac:dyDescent="0.3">
      <c r="A167" t="s">
        <v>168</v>
      </c>
      <c r="B167">
        <v>100</v>
      </c>
      <c r="C167">
        <v>9.2299999999999993E-2</v>
      </c>
      <c r="D167">
        <v>8.9399999999999993E-2</v>
      </c>
      <c r="E167">
        <v>4.2683</v>
      </c>
      <c r="F167">
        <v>50478.8</v>
      </c>
      <c r="G167">
        <f t="shared" si="5"/>
        <v>100.99306488802728</v>
      </c>
      <c r="H167">
        <v>101.84139999999999</v>
      </c>
      <c r="I167">
        <f t="shared" si="6"/>
        <v>1.7898724659992382</v>
      </c>
    </row>
    <row r="168" spans="1:9" x14ac:dyDescent="0.3">
      <c r="A168" t="s">
        <v>169</v>
      </c>
      <c r="B168">
        <v>100</v>
      </c>
      <c r="C168">
        <v>9.8299999999999998E-2</v>
      </c>
      <c r="D168">
        <v>8.9099999999999999E-2</v>
      </c>
      <c r="E168">
        <v>3.8904999999999998</v>
      </c>
      <c r="F168">
        <v>5135.76</v>
      </c>
      <c r="G168">
        <f t="shared" si="5"/>
        <v>102.91752753400077</v>
      </c>
      <c r="H168">
        <v>104.70740000000001</v>
      </c>
      <c r="I168">
        <f t="shared" si="6"/>
        <v>0.85807906368182785</v>
      </c>
    </row>
    <row r="169" spans="1:9" x14ac:dyDescent="0.3">
      <c r="A169" t="s">
        <v>170</v>
      </c>
      <c r="B169">
        <v>100</v>
      </c>
      <c r="C169">
        <v>9.6299999999999997E-2</v>
      </c>
      <c r="D169">
        <v>9.9900000000000003E-2</v>
      </c>
      <c r="E169">
        <v>6.1628999999999996</v>
      </c>
      <c r="F169">
        <v>9840.42</v>
      </c>
      <c r="G169">
        <f t="shared" si="5"/>
        <v>98.400320936318167</v>
      </c>
      <c r="H169">
        <v>99.258399999999995</v>
      </c>
      <c r="I169">
        <f t="shared" si="6"/>
        <v>1.0410687888121544</v>
      </c>
    </row>
    <row r="170" spans="1:9" x14ac:dyDescent="0.3">
      <c r="A170" t="s">
        <v>171</v>
      </c>
      <c r="B170">
        <v>100</v>
      </c>
      <c r="C170">
        <v>9.9000000000000005E-2</v>
      </c>
      <c r="D170">
        <v>8.7599999999999997E-2</v>
      </c>
      <c r="E170">
        <v>2.3298999999999999</v>
      </c>
      <c r="F170">
        <v>5102.53</v>
      </c>
      <c r="G170">
        <f t="shared" si="5"/>
        <v>102.31253121118785</v>
      </c>
      <c r="H170">
        <v>103.3536</v>
      </c>
      <c r="I170">
        <f t="shared" si="6"/>
        <v>2.2854885740125752</v>
      </c>
    </row>
    <row r="171" spans="1:9" x14ac:dyDescent="0.3">
      <c r="A171" t="s">
        <v>172</v>
      </c>
      <c r="B171">
        <v>100</v>
      </c>
      <c r="C171">
        <v>9.9199999999999997E-2</v>
      </c>
      <c r="D171">
        <v>9.4899999999999998E-2</v>
      </c>
      <c r="E171">
        <v>1.3880999999999999</v>
      </c>
      <c r="F171">
        <v>100401.2</v>
      </c>
      <c r="G171">
        <f t="shared" si="5"/>
        <v>100.53581142598742</v>
      </c>
      <c r="H171">
        <v>102.82129999999999</v>
      </c>
      <c r="I171">
        <f t="shared" si="6"/>
        <v>2.2894420299829079</v>
      </c>
    </row>
    <row r="172" spans="1:9" x14ac:dyDescent="0.3">
      <c r="A172" t="s">
        <v>173</v>
      </c>
      <c r="B172">
        <v>100</v>
      </c>
      <c r="C172">
        <v>9.4700000000000006E-2</v>
      </c>
      <c r="D172">
        <v>9.5899999999999999E-2</v>
      </c>
      <c r="E172">
        <v>3.1183999999999998</v>
      </c>
      <c r="F172">
        <v>199387</v>
      </c>
      <c r="G172">
        <f t="shared" si="5"/>
        <v>99.689157970017092</v>
      </c>
      <c r="H172">
        <v>101.9786</v>
      </c>
      <c r="I172">
        <f t="shared" si="6"/>
        <v>1.0953770181763218</v>
      </c>
    </row>
    <row r="173" spans="1:9" x14ac:dyDescent="0.3">
      <c r="A173" t="s">
        <v>174</v>
      </c>
      <c r="B173">
        <v>100</v>
      </c>
      <c r="C173">
        <v>8.6900000000000005E-2</v>
      </c>
      <c r="D173">
        <v>9.8299999999999998E-2</v>
      </c>
      <c r="E173">
        <v>2.9952000000000001</v>
      </c>
      <c r="F173">
        <v>4876.32</v>
      </c>
      <c r="G173">
        <f t="shared" si="5"/>
        <v>97.160422981823672</v>
      </c>
      <c r="H173">
        <v>98.255799999999994</v>
      </c>
      <c r="I173">
        <f t="shared" si="6"/>
        <v>1.4547193212257952</v>
      </c>
    </row>
    <row r="174" spans="1:9" x14ac:dyDescent="0.3">
      <c r="A174" t="s">
        <v>175</v>
      </c>
      <c r="B174">
        <v>100</v>
      </c>
      <c r="C174">
        <v>9.9400000000000002E-2</v>
      </c>
      <c r="D174">
        <v>9.0700000000000003E-2</v>
      </c>
      <c r="E174">
        <v>2.5270000000000001</v>
      </c>
      <c r="F174">
        <v>101907.8</v>
      </c>
      <c r="G174">
        <f t="shared" si="5"/>
        <v>101.88958067877421</v>
      </c>
      <c r="H174">
        <v>103.3443</v>
      </c>
      <c r="I174">
        <f t="shared" si="6"/>
        <v>1.7938357694291511</v>
      </c>
    </row>
    <row r="175" spans="1:9" x14ac:dyDescent="0.3">
      <c r="A175" t="s">
        <v>176</v>
      </c>
      <c r="B175">
        <v>100</v>
      </c>
      <c r="C175">
        <v>9.4600000000000004E-2</v>
      </c>
      <c r="D175">
        <v>9.9699999999999997E-2</v>
      </c>
      <c r="E175">
        <v>0.79120000000000001</v>
      </c>
      <c r="F175">
        <v>19951.419999999998</v>
      </c>
      <c r="G175">
        <f t="shared" si="5"/>
        <v>99.629464230570846</v>
      </c>
      <c r="H175">
        <v>101.4233</v>
      </c>
      <c r="I175">
        <f t="shared" si="6"/>
        <v>0.12081851542185973</v>
      </c>
    </row>
    <row r="176" spans="1:9" x14ac:dyDescent="0.3">
      <c r="A176" t="s">
        <v>177</v>
      </c>
      <c r="B176">
        <v>100</v>
      </c>
      <c r="C176">
        <v>8.5300000000000001E-2</v>
      </c>
      <c r="D176">
        <v>8.6400000000000005E-2</v>
      </c>
      <c r="E176">
        <v>2.6063999999999998</v>
      </c>
      <c r="F176">
        <v>49878.65</v>
      </c>
      <c r="G176">
        <f t="shared" si="5"/>
        <v>99.752681484578147</v>
      </c>
      <c r="H176">
        <v>99.873500000000007</v>
      </c>
      <c r="I176">
        <f t="shared" si="6"/>
        <v>0.88911399154321202</v>
      </c>
    </row>
    <row r="177" spans="1:9" x14ac:dyDescent="0.3">
      <c r="A177" t="s">
        <v>178</v>
      </c>
      <c r="B177">
        <v>100</v>
      </c>
      <c r="C177">
        <v>8.9499999999999996E-2</v>
      </c>
      <c r="D177">
        <v>9.0999999999999998E-2</v>
      </c>
      <c r="E177">
        <v>1.1910000000000001</v>
      </c>
      <c r="F177">
        <v>49929.8</v>
      </c>
      <c r="G177">
        <f t="shared" si="5"/>
        <v>99.837586008456782</v>
      </c>
      <c r="H177">
        <v>100.72669999999999</v>
      </c>
      <c r="I177">
        <f t="shared" si="6"/>
        <v>0.64550378494662652</v>
      </c>
    </row>
    <row r="178" spans="1:9" x14ac:dyDescent="0.3">
      <c r="A178" t="s">
        <v>179</v>
      </c>
      <c r="B178">
        <v>100</v>
      </c>
      <c r="C178">
        <v>8.1199999999999994E-2</v>
      </c>
      <c r="D178">
        <v>8.6300000000000002E-2</v>
      </c>
      <c r="E178">
        <v>2.4942000000000002</v>
      </c>
      <c r="F178">
        <v>19816.240000000002</v>
      </c>
      <c r="G178">
        <f t="shared" si="5"/>
        <v>98.897596215053369</v>
      </c>
      <c r="H178">
        <v>99.543099999999995</v>
      </c>
      <c r="I178">
        <f t="shared" si="6"/>
        <v>2.4251496741344738</v>
      </c>
    </row>
    <row r="179" spans="1:9" x14ac:dyDescent="0.3">
      <c r="A179" t="s">
        <v>180</v>
      </c>
      <c r="B179">
        <v>100</v>
      </c>
      <c r="C179">
        <v>0.09</v>
      </c>
      <c r="D179">
        <v>9.5200000000000007E-2</v>
      </c>
      <c r="E179">
        <v>1.4976</v>
      </c>
      <c r="F179">
        <v>99514.9</v>
      </c>
      <c r="G179">
        <f t="shared" si="5"/>
        <v>99.30455032586552</v>
      </c>
      <c r="H179">
        <v>101.72969999999999</v>
      </c>
      <c r="I179">
        <f t="shared" si="6"/>
        <v>1.1490679055969224</v>
      </c>
    </row>
    <row r="180" spans="1:9" x14ac:dyDescent="0.3">
      <c r="A180" t="s">
        <v>181</v>
      </c>
      <c r="B180">
        <v>100</v>
      </c>
      <c r="C180">
        <v>9.11E-2</v>
      </c>
      <c r="D180">
        <v>8.9099999999999999E-2</v>
      </c>
      <c r="E180">
        <v>3.8685999999999998</v>
      </c>
      <c r="F180">
        <v>50295.1</v>
      </c>
      <c r="G180">
        <f t="shared" si="5"/>
        <v>100.63123209440307</v>
      </c>
      <c r="H180">
        <v>101.7803</v>
      </c>
      <c r="I180">
        <f t="shared" si="6"/>
        <v>0.15102925813951629</v>
      </c>
    </row>
    <row r="181" spans="1:9" x14ac:dyDescent="0.3">
      <c r="A181" t="s">
        <v>182</v>
      </c>
      <c r="B181">
        <v>100</v>
      </c>
      <c r="C181">
        <v>9.7299999999999998E-2</v>
      </c>
      <c r="D181">
        <v>8.8999999999999996E-2</v>
      </c>
      <c r="E181">
        <v>0.8679</v>
      </c>
      <c r="F181">
        <v>200794.6</v>
      </c>
      <c r="G181">
        <f t="shared" si="5"/>
        <v>100.66517074186048</v>
      </c>
      <c r="H181">
        <v>100.81619999999999</v>
      </c>
      <c r="I181">
        <f t="shared" si="6"/>
        <v>0.47105308314959871</v>
      </c>
    </row>
    <row r="182" spans="1:9" x14ac:dyDescent="0.3">
      <c r="A182" t="s">
        <v>183</v>
      </c>
      <c r="B182">
        <v>100</v>
      </c>
      <c r="C182">
        <v>8.0399999999999999E-2</v>
      </c>
      <c r="D182">
        <v>9.7600000000000006E-2</v>
      </c>
      <c r="E182">
        <v>2.5680999999999998</v>
      </c>
      <c r="F182">
        <v>481321.5</v>
      </c>
      <c r="G182">
        <f t="shared" si="5"/>
        <v>96.251446916850398</v>
      </c>
      <c r="H182">
        <v>96.722499999999997</v>
      </c>
      <c r="I182">
        <f t="shared" si="6"/>
        <v>1.6472476331788641</v>
      </c>
    </row>
    <row r="183" spans="1:9" x14ac:dyDescent="0.3">
      <c r="A183" t="s">
        <v>184</v>
      </c>
      <c r="B183">
        <v>100</v>
      </c>
      <c r="C183">
        <v>9.7299999999999998E-2</v>
      </c>
      <c r="D183">
        <v>8.7400000000000005E-2</v>
      </c>
      <c r="E183">
        <v>0.98560000000000003</v>
      </c>
      <c r="F183">
        <v>20094.86</v>
      </c>
      <c r="G183">
        <f t="shared" si="5"/>
        <v>100.89785236682114</v>
      </c>
      <c r="H183">
        <v>102.54510000000001</v>
      </c>
      <c r="I183">
        <f t="shared" si="6"/>
        <v>1.0656617647235151</v>
      </c>
    </row>
    <row r="184" spans="1:9" x14ac:dyDescent="0.3">
      <c r="A184" t="s">
        <v>185</v>
      </c>
      <c r="B184">
        <v>100</v>
      </c>
      <c r="C184">
        <v>9.6500000000000002E-2</v>
      </c>
      <c r="D184">
        <v>9.8799999999999999E-2</v>
      </c>
      <c r="E184">
        <v>3.5154000000000001</v>
      </c>
      <c r="F184">
        <v>198666.2</v>
      </c>
      <c r="G184">
        <f t="shared" si="5"/>
        <v>99.343638235276487</v>
      </c>
      <c r="H184">
        <v>100.4093</v>
      </c>
      <c r="I184">
        <f t="shared" si="6"/>
        <v>2.3243606182453078</v>
      </c>
    </row>
    <row r="185" spans="1:9" x14ac:dyDescent="0.3">
      <c r="A185" t="s">
        <v>186</v>
      </c>
      <c r="B185">
        <v>100</v>
      </c>
      <c r="C185">
        <v>9.7100000000000006E-2</v>
      </c>
      <c r="D185">
        <v>8.8099999999999998E-2</v>
      </c>
      <c r="E185">
        <v>5.1471999999999998</v>
      </c>
      <c r="F185">
        <v>207154.8</v>
      </c>
      <c r="G185">
        <f t="shared" si="5"/>
        <v>103.60073938175469</v>
      </c>
      <c r="H185">
        <v>105.9251</v>
      </c>
      <c r="I185">
        <f t="shared" si="6"/>
        <v>9.5805538862549611E-2</v>
      </c>
    </row>
    <row r="186" spans="1:9" x14ac:dyDescent="0.3">
      <c r="A186" t="s">
        <v>187</v>
      </c>
      <c r="B186">
        <v>100</v>
      </c>
      <c r="C186">
        <v>9.7000000000000003E-2</v>
      </c>
      <c r="D186">
        <v>9.1999999999999998E-2</v>
      </c>
      <c r="E186">
        <v>3.4908000000000001</v>
      </c>
      <c r="F186">
        <v>202570.6</v>
      </c>
      <c r="G186">
        <f t="shared" si="5"/>
        <v>101.43759446113745</v>
      </c>
      <c r="H186">
        <v>101.5334</v>
      </c>
      <c r="I186">
        <f t="shared" si="6"/>
        <v>0.53120594220298756</v>
      </c>
    </row>
    <row r="187" spans="1:9" x14ac:dyDescent="0.3">
      <c r="A187" t="s">
        <v>188</v>
      </c>
      <c r="B187">
        <v>100</v>
      </c>
      <c r="C187">
        <v>8.3000000000000004E-2</v>
      </c>
      <c r="D187">
        <v>9.7100000000000006E-2</v>
      </c>
      <c r="E187">
        <v>0.70089999999999997</v>
      </c>
      <c r="F187">
        <v>496638</v>
      </c>
      <c r="G187">
        <f t="shared" si="5"/>
        <v>99.086794057797007</v>
      </c>
      <c r="H187">
        <v>99.617999999999995</v>
      </c>
      <c r="I187">
        <f t="shared" si="6"/>
        <v>2.0712301083682974</v>
      </c>
    </row>
    <row r="188" spans="1:9" x14ac:dyDescent="0.3">
      <c r="A188" t="s">
        <v>189</v>
      </c>
      <c r="B188">
        <v>100</v>
      </c>
      <c r="C188">
        <v>9.3700000000000006E-2</v>
      </c>
      <c r="D188">
        <v>9.8599999999999993E-2</v>
      </c>
      <c r="E188">
        <v>1.7906</v>
      </c>
      <c r="F188">
        <v>198663.8</v>
      </c>
      <c r="G188">
        <f t="shared" si="5"/>
        <v>99.229869891631708</v>
      </c>
      <c r="H188">
        <v>101.30110000000001</v>
      </c>
      <c r="I188">
        <f t="shared" si="6"/>
        <v>0.33053095045363534</v>
      </c>
    </row>
    <row r="189" spans="1:9" x14ac:dyDescent="0.3">
      <c r="A189" t="s">
        <v>190</v>
      </c>
      <c r="B189">
        <v>100</v>
      </c>
      <c r="C189">
        <v>9.4899999999999998E-2</v>
      </c>
      <c r="D189">
        <v>9.8299999999999998E-2</v>
      </c>
      <c r="E189">
        <v>2.2395999999999998</v>
      </c>
      <c r="F189">
        <v>19879.2</v>
      </c>
      <c r="G189">
        <f t="shared" si="5"/>
        <v>99.344869049546361</v>
      </c>
      <c r="H189">
        <v>99.675399999999996</v>
      </c>
      <c r="I189">
        <f t="shared" si="6"/>
        <v>1.8304550917445255</v>
      </c>
    </row>
    <row r="190" spans="1:9" x14ac:dyDescent="0.3">
      <c r="A190" t="s">
        <v>191</v>
      </c>
      <c r="B190">
        <v>100</v>
      </c>
      <c r="C190">
        <v>9.98E-2</v>
      </c>
      <c r="D190">
        <v>9.35E-2</v>
      </c>
      <c r="E190">
        <v>2.2724000000000002</v>
      </c>
      <c r="F190">
        <v>50562.75</v>
      </c>
      <c r="G190">
        <f t="shared" si="5"/>
        <v>101.23854490825548</v>
      </c>
      <c r="H190">
        <v>103.069</v>
      </c>
      <c r="I190">
        <f t="shared" si="6"/>
        <v>6.1751870645082363E-2</v>
      </c>
    </row>
    <row r="191" spans="1:9" x14ac:dyDescent="0.3">
      <c r="A191" t="s">
        <v>192</v>
      </c>
      <c r="B191">
        <v>100</v>
      </c>
      <c r="C191">
        <v>8.9800000000000005E-2</v>
      </c>
      <c r="D191">
        <v>9.1499999999999998E-2</v>
      </c>
      <c r="E191">
        <v>1.3716999999999999</v>
      </c>
      <c r="F191">
        <v>49920.5</v>
      </c>
      <c r="G191">
        <f t="shared" si="5"/>
        <v>99.789748129354919</v>
      </c>
      <c r="H191">
        <v>99.851500000000001</v>
      </c>
      <c r="I191">
        <f t="shared" si="6"/>
        <v>1.4959349242972735</v>
      </c>
    </row>
    <row r="192" spans="1:9" x14ac:dyDescent="0.3">
      <c r="A192" t="s">
        <v>193</v>
      </c>
      <c r="B192">
        <v>100</v>
      </c>
      <c r="C192">
        <v>8.2100000000000006E-2</v>
      </c>
      <c r="D192">
        <v>8.7499999999999994E-2</v>
      </c>
      <c r="E192">
        <v>2.5571999999999999</v>
      </c>
      <c r="F192">
        <v>494053</v>
      </c>
      <c r="G192">
        <f t="shared" si="5"/>
        <v>98.808565075702731</v>
      </c>
      <c r="H192">
        <v>100.3045</v>
      </c>
      <c r="I192">
        <f t="shared" si="6"/>
        <v>0.85876373144043328</v>
      </c>
    </row>
    <row r="193" spans="1:9" x14ac:dyDescent="0.3">
      <c r="A193" t="s">
        <v>194</v>
      </c>
      <c r="B193">
        <v>100</v>
      </c>
      <c r="C193">
        <v>9.4500000000000001E-2</v>
      </c>
      <c r="D193">
        <v>8.5300000000000001E-2</v>
      </c>
      <c r="E193">
        <v>2.0779999999999998</v>
      </c>
      <c r="F193">
        <v>101659.4</v>
      </c>
      <c r="G193">
        <f t="shared" si="5"/>
        <v>101.68703626855957</v>
      </c>
      <c r="H193">
        <v>102.5458</v>
      </c>
      <c r="I193">
        <f t="shared" si="6"/>
        <v>1.1841300538278858</v>
      </c>
    </row>
    <row r="194" spans="1:9" x14ac:dyDescent="0.3">
      <c r="A194" t="s">
        <v>195</v>
      </c>
      <c r="B194">
        <v>100</v>
      </c>
      <c r="C194">
        <v>8.9499999999999996E-2</v>
      </c>
      <c r="D194">
        <v>9.5299999999999996E-2</v>
      </c>
      <c r="E194">
        <v>2.089</v>
      </c>
      <c r="F194">
        <v>4948.3</v>
      </c>
      <c r="G194">
        <f t="shared" si="5"/>
        <v>98.946069946172116</v>
      </c>
      <c r="H194">
        <v>100.1302</v>
      </c>
      <c r="I194">
        <f t="shared" si="6"/>
        <v>2.1169174931879837</v>
      </c>
    </row>
    <row r="195" spans="1:9" x14ac:dyDescent="0.3">
      <c r="A195" t="s">
        <v>196</v>
      </c>
      <c r="B195">
        <v>100</v>
      </c>
      <c r="C195">
        <v>9.5600000000000004E-2</v>
      </c>
      <c r="D195">
        <v>9.0399999999999994E-2</v>
      </c>
      <c r="E195">
        <v>0.63519999999999999</v>
      </c>
      <c r="F195">
        <v>50124.4</v>
      </c>
      <c r="G195">
        <f t="shared" ref="G195:G258" si="7">B195*(C195*((1-(1+D195)^(-E195))/D195)+(1+D195)^(-E195))</f>
        <v>100.30768250681201</v>
      </c>
      <c r="H195">
        <v>102.4246</v>
      </c>
      <c r="I195">
        <f t="shared" si="6"/>
        <v>1.9227035290986123</v>
      </c>
    </row>
    <row r="196" spans="1:9" x14ac:dyDescent="0.3">
      <c r="A196" t="s">
        <v>197</v>
      </c>
      <c r="B196">
        <v>100</v>
      </c>
      <c r="C196">
        <v>9.4500000000000001E-2</v>
      </c>
      <c r="D196">
        <v>9.4700000000000006E-2</v>
      </c>
      <c r="E196">
        <v>0.59689999999999999</v>
      </c>
      <c r="F196">
        <v>49995.25</v>
      </c>
      <c r="G196">
        <f t="shared" si="7"/>
        <v>99.988896470901395</v>
      </c>
      <c r="H196">
        <v>101.91160000000001</v>
      </c>
      <c r="I196">
        <f t="shared" si="6"/>
        <v>2.3472859838856408</v>
      </c>
    </row>
    <row r="197" spans="1:9" x14ac:dyDescent="0.3">
      <c r="A197" t="s">
        <v>198</v>
      </c>
      <c r="B197">
        <v>100</v>
      </c>
      <c r="C197">
        <v>9.7900000000000001E-2</v>
      </c>
      <c r="D197">
        <v>9.6000000000000002E-2</v>
      </c>
      <c r="E197">
        <v>4.1561000000000003</v>
      </c>
      <c r="F197">
        <v>20123.8</v>
      </c>
      <c r="G197">
        <f t="shared" si="7"/>
        <v>100.62701401611436</v>
      </c>
      <c r="H197">
        <v>102.9743</v>
      </c>
      <c r="I197">
        <f t="shared" si="6"/>
        <v>1.9626396498018295</v>
      </c>
    </row>
    <row r="198" spans="1:9" x14ac:dyDescent="0.3">
      <c r="A198" t="s">
        <v>199</v>
      </c>
      <c r="B198">
        <v>100</v>
      </c>
      <c r="C198">
        <v>8.9700000000000002E-2</v>
      </c>
      <c r="D198">
        <v>8.77E-2</v>
      </c>
      <c r="E198">
        <v>2.1080999999999999</v>
      </c>
      <c r="F198">
        <v>50179.85</v>
      </c>
      <c r="G198">
        <f t="shared" si="7"/>
        <v>100.37036035019817</v>
      </c>
      <c r="H198">
        <v>102.333</v>
      </c>
      <c r="I198">
        <f t="shared" si="6"/>
        <v>0.22648977438757356</v>
      </c>
    </row>
    <row r="199" spans="1:9" x14ac:dyDescent="0.3">
      <c r="A199" t="s">
        <v>200</v>
      </c>
      <c r="B199">
        <v>100</v>
      </c>
      <c r="C199">
        <v>9.4500000000000001E-2</v>
      </c>
      <c r="D199">
        <v>9.5000000000000001E-2</v>
      </c>
      <c r="E199">
        <v>0.54479999999999995</v>
      </c>
      <c r="F199">
        <v>19995.22</v>
      </c>
      <c r="G199">
        <f t="shared" si="7"/>
        <v>99.974610225612423</v>
      </c>
      <c r="H199">
        <v>100.2011</v>
      </c>
      <c r="I199">
        <f t="shared" si="6"/>
        <v>0.75695050556058163</v>
      </c>
    </row>
    <row r="200" spans="1:9" x14ac:dyDescent="0.3">
      <c r="A200" t="s">
        <v>201</v>
      </c>
      <c r="B200">
        <v>100</v>
      </c>
      <c r="C200">
        <v>9.74E-2</v>
      </c>
      <c r="D200">
        <v>8.9800000000000005E-2</v>
      </c>
      <c r="E200">
        <v>0.75019999999999998</v>
      </c>
      <c r="F200">
        <v>20072.740000000002</v>
      </c>
      <c r="G200">
        <f t="shared" si="7"/>
        <v>100.52874949443942</v>
      </c>
      <c r="H200">
        <v>101.28570000000001</v>
      </c>
      <c r="I200">
        <f t="shared" si="6"/>
        <v>0.55737342378792221</v>
      </c>
    </row>
    <row r="201" spans="1:9" x14ac:dyDescent="0.3">
      <c r="A201" t="s">
        <v>202</v>
      </c>
      <c r="B201">
        <v>100</v>
      </c>
      <c r="C201">
        <v>9.11E-2</v>
      </c>
      <c r="D201">
        <v>9.69E-2</v>
      </c>
      <c r="E201">
        <v>0.67620000000000002</v>
      </c>
      <c r="F201">
        <v>99723.4</v>
      </c>
      <c r="G201">
        <f t="shared" si="7"/>
        <v>99.637126576212083</v>
      </c>
      <c r="H201">
        <v>100.19450000000001</v>
      </c>
      <c r="I201">
        <f t="shared" si="6"/>
        <v>0.61876436470041085</v>
      </c>
    </row>
    <row r="202" spans="1:9" x14ac:dyDescent="0.3">
      <c r="A202" t="s">
        <v>203</v>
      </c>
      <c r="B202">
        <v>100</v>
      </c>
      <c r="C202">
        <v>9.2899999999999996E-2</v>
      </c>
      <c r="D202">
        <v>0.10390000000000001</v>
      </c>
      <c r="E202">
        <v>2.4942000000000002</v>
      </c>
      <c r="F202">
        <v>196117</v>
      </c>
      <c r="G202">
        <f t="shared" si="7"/>
        <v>97.686635635299595</v>
      </c>
      <c r="H202">
        <v>98.305400000000006</v>
      </c>
      <c r="I202">
        <f t="shared" si="6"/>
        <v>1.6229397700507064</v>
      </c>
    </row>
    <row r="203" spans="1:9" x14ac:dyDescent="0.3">
      <c r="A203" t="s">
        <v>204</v>
      </c>
      <c r="B203">
        <v>100</v>
      </c>
      <c r="C203">
        <v>0.1147</v>
      </c>
      <c r="D203">
        <v>9.7699999999999995E-2</v>
      </c>
      <c r="E203">
        <v>1.0678000000000001</v>
      </c>
      <c r="F203">
        <v>50791.55</v>
      </c>
      <c r="G203">
        <f t="shared" si="7"/>
        <v>101.6485602299493</v>
      </c>
      <c r="H203">
        <v>103.2715</v>
      </c>
      <c r="I203">
        <f t="shared" si="6"/>
        <v>2.6228094347545294</v>
      </c>
    </row>
    <row r="204" spans="1:9" x14ac:dyDescent="0.3">
      <c r="A204" t="s">
        <v>205</v>
      </c>
      <c r="B204">
        <v>100</v>
      </c>
      <c r="C204">
        <v>9.5200000000000007E-2</v>
      </c>
      <c r="D204">
        <v>0.1114</v>
      </c>
      <c r="E204">
        <v>2.2915999999999999</v>
      </c>
      <c r="F204">
        <v>97165.4</v>
      </c>
      <c r="G204">
        <f t="shared" si="7"/>
        <v>96.873790565245471</v>
      </c>
      <c r="H204">
        <v>99.496600000000001</v>
      </c>
      <c r="I204">
        <f t="shared" si="6"/>
        <v>1.975758114706835</v>
      </c>
    </row>
    <row r="205" spans="1:9" x14ac:dyDescent="0.3">
      <c r="A205" t="s">
        <v>206</v>
      </c>
      <c r="B205">
        <v>100</v>
      </c>
      <c r="C205">
        <v>0.1114</v>
      </c>
      <c r="D205">
        <v>0.1106</v>
      </c>
      <c r="E205">
        <v>2.0972</v>
      </c>
      <c r="F205">
        <v>20028.02</v>
      </c>
      <c r="G205">
        <f t="shared" si="7"/>
        <v>100.14284188529317</v>
      </c>
      <c r="H205">
        <v>102.1186</v>
      </c>
      <c r="I205">
        <f t="shared" si="6"/>
        <v>-0.13871854703542397</v>
      </c>
    </row>
    <row r="206" spans="1:9" x14ac:dyDescent="0.3">
      <c r="A206" t="s">
        <v>207</v>
      </c>
      <c r="B206">
        <v>100</v>
      </c>
      <c r="C206">
        <v>0.1142</v>
      </c>
      <c r="D206">
        <v>9.8599999999999993E-2</v>
      </c>
      <c r="E206">
        <v>1.4757</v>
      </c>
      <c r="F206">
        <v>202903.6</v>
      </c>
      <c r="G206">
        <f t="shared" si="7"/>
        <v>102.05001854703542</v>
      </c>
      <c r="H206">
        <v>101.9113</v>
      </c>
      <c r="I206">
        <f t="shared" si="6"/>
        <v>1.0643951929477851</v>
      </c>
    </row>
    <row r="207" spans="1:9" x14ac:dyDescent="0.3">
      <c r="A207" t="s">
        <v>208</v>
      </c>
      <c r="B207">
        <v>100</v>
      </c>
      <c r="C207">
        <v>0.1123</v>
      </c>
      <c r="D207">
        <v>0.11459999999999999</v>
      </c>
      <c r="E207">
        <v>3.5482999999999998</v>
      </c>
      <c r="F207">
        <v>496759</v>
      </c>
      <c r="G207">
        <f t="shared" si="7"/>
        <v>99.35870480705222</v>
      </c>
      <c r="H207">
        <v>100.42310000000001</v>
      </c>
      <c r="I207">
        <f t="shared" si="6"/>
        <v>1.0328503438500718</v>
      </c>
    </row>
    <row r="208" spans="1:9" x14ac:dyDescent="0.3">
      <c r="A208" t="s">
        <v>209</v>
      </c>
      <c r="B208">
        <v>100</v>
      </c>
      <c r="C208">
        <v>0.1133</v>
      </c>
      <c r="D208">
        <v>9.9400000000000002E-2</v>
      </c>
      <c r="E208">
        <v>1.911</v>
      </c>
      <c r="F208">
        <v>203787.4</v>
      </c>
      <c r="G208">
        <f t="shared" si="7"/>
        <v>102.31634965614992</v>
      </c>
      <c r="H208">
        <v>103.3492</v>
      </c>
      <c r="I208">
        <f t="shared" si="6"/>
        <v>1.1242972959958735</v>
      </c>
    </row>
    <row r="209" spans="1:9" x14ac:dyDescent="0.3">
      <c r="A209" t="s">
        <v>210</v>
      </c>
      <c r="B209">
        <v>100</v>
      </c>
      <c r="C209">
        <v>9.1200000000000003E-2</v>
      </c>
      <c r="D209">
        <v>0.1143</v>
      </c>
      <c r="E209">
        <v>1.7083999999999999</v>
      </c>
      <c r="F209">
        <v>193792.6</v>
      </c>
      <c r="G209">
        <f t="shared" si="7"/>
        <v>96.588402704004125</v>
      </c>
      <c r="H209">
        <v>97.712699999999998</v>
      </c>
      <c r="I209">
        <f t="shared" si="6"/>
        <v>1.2326541940189344</v>
      </c>
    </row>
    <row r="210" spans="1:9" x14ac:dyDescent="0.3">
      <c r="A210" t="s">
        <v>211</v>
      </c>
      <c r="B210">
        <v>100</v>
      </c>
      <c r="C210">
        <v>9.6600000000000005E-2</v>
      </c>
      <c r="D210">
        <v>0.1033</v>
      </c>
      <c r="E210">
        <v>1.1745000000000001</v>
      </c>
      <c r="F210">
        <v>19875.72</v>
      </c>
      <c r="G210">
        <f t="shared" si="7"/>
        <v>99.29274580598107</v>
      </c>
      <c r="H210">
        <v>100.5254</v>
      </c>
      <c r="I210">
        <f t="shared" si="6"/>
        <v>1.3328361198901604</v>
      </c>
    </row>
    <row r="211" spans="1:9" x14ac:dyDescent="0.3">
      <c r="A211" t="s">
        <v>212</v>
      </c>
      <c r="B211">
        <v>100</v>
      </c>
      <c r="C211">
        <v>0.1062</v>
      </c>
      <c r="D211">
        <v>0.1079</v>
      </c>
      <c r="E211">
        <v>3.4251</v>
      </c>
      <c r="F211">
        <v>497870</v>
      </c>
      <c r="G211">
        <f t="shared" si="7"/>
        <v>99.533663880109842</v>
      </c>
      <c r="H211">
        <v>100.8665</v>
      </c>
      <c r="I211">
        <f t="shared" si="6"/>
        <v>2.0666939143778222</v>
      </c>
    </row>
    <row r="212" spans="1:9" x14ac:dyDescent="0.3">
      <c r="A212" t="s">
        <v>213</v>
      </c>
      <c r="B212">
        <v>100</v>
      </c>
      <c r="C212">
        <v>0.11509999999999999</v>
      </c>
      <c r="D212">
        <v>0.11260000000000001</v>
      </c>
      <c r="E212">
        <v>1.4237</v>
      </c>
      <c r="F212">
        <v>200460.79999999999</v>
      </c>
      <c r="G212">
        <f t="shared" si="7"/>
        <v>100.31290608562217</v>
      </c>
      <c r="H212">
        <v>102.3796</v>
      </c>
      <c r="I212">
        <f t="shared" si="6"/>
        <v>0.19478024125206161</v>
      </c>
    </row>
    <row r="213" spans="1:9" x14ac:dyDescent="0.3">
      <c r="A213" t="s">
        <v>214</v>
      </c>
      <c r="B213">
        <v>100</v>
      </c>
      <c r="C213">
        <v>0.11459999999999999</v>
      </c>
      <c r="D213">
        <v>0.10630000000000001</v>
      </c>
      <c r="E213">
        <v>2.2778999999999998</v>
      </c>
      <c r="F213">
        <v>50730.45</v>
      </c>
      <c r="G213">
        <f t="shared" si="7"/>
        <v>101.60501975874794</v>
      </c>
      <c r="H213">
        <v>101.7998</v>
      </c>
      <c r="I213">
        <f t="shared" si="6"/>
        <v>2.3238412967063624</v>
      </c>
    </row>
    <row r="214" spans="1:9" x14ac:dyDescent="0.3">
      <c r="A214" t="s">
        <v>215</v>
      </c>
      <c r="B214">
        <v>100</v>
      </c>
      <c r="C214">
        <v>9.8400000000000001E-2</v>
      </c>
      <c r="D214">
        <v>0.11559999999999999</v>
      </c>
      <c r="E214">
        <v>2.9733000000000001</v>
      </c>
      <c r="F214">
        <v>4817.78</v>
      </c>
      <c r="G214">
        <f t="shared" si="7"/>
        <v>95.868758703293636</v>
      </c>
      <c r="H214">
        <v>98.192599999999999</v>
      </c>
      <c r="I214">
        <f t="shared" si="6"/>
        <v>2.3364820121971519</v>
      </c>
    </row>
    <row r="215" spans="1:9" x14ac:dyDescent="0.3">
      <c r="A215" t="s">
        <v>216</v>
      </c>
      <c r="B215">
        <v>100</v>
      </c>
      <c r="C215">
        <v>0.1018</v>
      </c>
      <c r="D215">
        <v>0.1137</v>
      </c>
      <c r="E215">
        <v>1.1963999999999999</v>
      </c>
      <c r="F215">
        <v>197808.6</v>
      </c>
      <c r="G215">
        <f t="shared" si="7"/>
        <v>98.734817987802842</v>
      </c>
      <c r="H215">
        <v>101.07129999999999</v>
      </c>
      <c r="I215">
        <f t="shared" si="6"/>
        <v>1.6953320583101714</v>
      </c>
    </row>
    <row r="216" spans="1:9" x14ac:dyDescent="0.3">
      <c r="A216" t="s">
        <v>217</v>
      </c>
      <c r="B216">
        <v>100</v>
      </c>
      <c r="C216">
        <v>9.2200000000000004E-2</v>
      </c>
      <c r="D216">
        <v>9.9900000000000003E-2</v>
      </c>
      <c r="E216">
        <v>1.2484999999999999</v>
      </c>
      <c r="F216">
        <v>99284.1</v>
      </c>
      <c r="G216">
        <f t="shared" si="7"/>
        <v>99.136067941689831</v>
      </c>
      <c r="H216">
        <v>100.8314</v>
      </c>
      <c r="I216">
        <f t="shared" si="6"/>
        <v>1.9560753760476217</v>
      </c>
    </row>
    <row r="217" spans="1:9" x14ac:dyDescent="0.3">
      <c r="A217" t="s">
        <v>218</v>
      </c>
      <c r="B217">
        <v>100</v>
      </c>
      <c r="C217">
        <v>0.107</v>
      </c>
      <c r="D217">
        <v>0.11899999999999999</v>
      </c>
      <c r="E217">
        <v>1.0787</v>
      </c>
      <c r="F217">
        <v>9889.92</v>
      </c>
      <c r="G217">
        <f t="shared" si="7"/>
        <v>98.848224623952376</v>
      </c>
      <c r="H217">
        <v>100.8043</v>
      </c>
      <c r="I217">
        <f t="shared" ref="I217:I280" si="8">H218-G218</f>
        <v>0.30099421136952742</v>
      </c>
    </row>
    <row r="218" spans="1:9" x14ac:dyDescent="0.3">
      <c r="A218" t="s">
        <v>219</v>
      </c>
      <c r="B218">
        <v>100</v>
      </c>
      <c r="C218">
        <v>0.1094</v>
      </c>
      <c r="D218">
        <v>0.11650000000000001</v>
      </c>
      <c r="E218">
        <v>0.65980000000000005</v>
      </c>
      <c r="F218">
        <v>9966.4500000000007</v>
      </c>
      <c r="G218">
        <f t="shared" si="7"/>
        <v>99.572605788630469</v>
      </c>
      <c r="H218">
        <v>99.873599999999996</v>
      </c>
      <c r="I218">
        <f t="shared" si="8"/>
        <v>0.91685087780608399</v>
      </c>
    </row>
    <row r="219" spans="1:9" x14ac:dyDescent="0.3">
      <c r="A219" t="s">
        <v>220</v>
      </c>
      <c r="B219">
        <v>100</v>
      </c>
      <c r="C219">
        <v>0.1096</v>
      </c>
      <c r="D219">
        <v>0.10059999999999999</v>
      </c>
      <c r="E219">
        <v>1.7686999999999999</v>
      </c>
      <c r="F219">
        <v>506124</v>
      </c>
      <c r="G219">
        <f t="shared" si="7"/>
        <v>101.39514912219391</v>
      </c>
      <c r="H219">
        <v>102.312</v>
      </c>
      <c r="I219">
        <f t="shared" si="8"/>
        <v>2.1136714303286936</v>
      </c>
    </row>
    <row r="220" spans="1:9" x14ac:dyDescent="0.3">
      <c r="A220" t="s">
        <v>221</v>
      </c>
      <c r="B220">
        <v>100</v>
      </c>
      <c r="C220">
        <v>9.7000000000000003E-2</v>
      </c>
      <c r="D220">
        <v>9.6100000000000005E-2</v>
      </c>
      <c r="E220">
        <v>2.3900999999999999</v>
      </c>
      <c r="F220">
        <v>10016.030000000001</v>
      </c>
      <c r="G220">
        <f t="shared" si="7"/>
        <v>100.18442856967131</v>
      </c>
      <c r="H220">
        <v>102.29810000000001</v>
      </c>
      <c r="I220">
        <f t="shared" si="8"/>
        <v>1.1767667028066171</v>
      </c>
    </row>
    <row r="221" spans="1:9" x14ac:dyDescent="0.3">
      <c r="A221" t="s">
        <v>222</v>
      </c>
      <c r="B221">
        <v>100</v>
      </c>
      <c r="C221">
        <v>0.1076</v>
      </c>
      <c r="D221">
        <v>0.10440000000000001</v>
      </c>
      <c r="E221">
        <v>0.9829</v>
      </c>
      <c r="F221">
        <v>10015.209999999999</v>
      </c>
      <c r="G221">
        <f t="shared" si="7"/>
        <v>100.28503329719338</v>
      </c>
      <c r="H221">
        <v>101.4618</v>
      </c>
      <c r="I221">
        <f t="shared" si="8"/>
        <v>0.14226459675595038</v>
      </c>
    </row>
    <row r="222" spans="1:9" x14ac:dyDescent="0.3">
      <c r="A222" t="s">
        <v>223</v>
      </c>
      <c r="B222">
        <v>100</v>
      </c>
      <c r="C222">
        <v>2.63E-2</v>
      </c>
      <c r="D222">
        <v>4.3999999999999997E-2</v>
      </c>
      <c r="E222">
        <v>5.5523999999999996</v>
      </c>
      <c r="F222">
        <v>381746.97</v>
      </c>
      <c r="G222">
        <f t="shared" si="7"/>
        <v>91.445635403244054</v>
      </c>
      <c r="H222">
        <v>91.587900000000005</v>
      </c>
      <c r="I222">
        <f t="shared" si="8"/>
        <v>0.6589800955659797</v>
      </c>
    </row>
    <row r="223" spans="1:9" x14ac:dyDescent="0.3">
      <c r="A223" t="s">
        <v>224</v>
      </c>
      <c r="B223">
        <v>100</v>
      </c>
      <c r="C223">
        <v>2.1299999999999999E-2</v>
      </c>
      <c r="D223">
        <v>3.9300000000000002E-2</v>
      </c>
      <c r="E223">
        <v>10.9049</v>
      </c>
      <c r="F223">
        <v>70671.06</v>
      </c>
      <c r="G223">
        <f t="shared" si="7"/>
        <v>84.28151990443402</v>
      </c>
      <c r="H223">
        <v>84.9405</v>
      </c>
      <c r="I223">
        <f t="shared" si="8"/>
        <v>0.32331862572664249</v>
      </c>
    </row>
    <row r="224" spans="1:9" x14ac:dyDescent="0.3">
      <c r="A224" t="s">
        <v>225</v>
      </c>
      <c r="B224">
        <v>100</v>
      </c>
      <c r="C224">
        <v>2.6499999999999999E-2</v>
      </c>
      <c r="D224">
        <v>4.6699999999999998E-2</v>
      </c>
      <c r="E224">
        <v>6.1026999999999996</v>
      </c>
      <c r="F224">
        <v>7476.59</v>
      </c>
      <c r="G224">
        <f t="shared" si="7"/>
        <v>89.484181374273362</v>
      </c>
      <c r="H224">
        <v>89.807500000000005</v>
      </c>
      <c r="I224">
        <f t="shared" si="8"/>
        <v>0.99752158412289305</v>
      </c>
    </row>
    <row r="225" spans="1:9" x14ac:dyDescent="0.3">
      <c r="A225" t="s">
        <v>226</v>
      </c>
      <c r="B225">
        <v>100</v>
      </c>
      <c r="C225">
        <v>2.2100000000000002E-2</v>
      </c>
      <c r="D225">
        <v>3.9100000000000003E-2</v>
      </c>
      <c r="E225">
        <v>8.4846000000000004</v>
      </c>
      <c r="F225">
        <v>7383.07</v>
      </c>
      <c r="G225">
        <f t="shared" si="7"/>
        <v>87.922578415877112</v>
      </c>
      <c r="H225">
        <v>88.920100000000005</v>
      </c>
      <c r="I225">
        <f t="shared" si="8"/>
        <v>-8.9216955556707944E-3</v>
      </c>
    </row>
    <row r="226" spans="1:9" x14ac:dyDescent="0.3">
      <c r="A226" t="s">
        <v>227</v>
      </c>
      <c r="B226">
        <v>100</v>
      </c>
      <c r="C226">
        <v>4.2599999999999999E-2</v>
      </c>
      <c r="D226">
        <v>3.9300000000000002E-2</v>
      </c>
      <c r="E226">
        <v>2.0533999999999999</v>
      </c>
      <c r="F226">
        <v>84025.21</v>
      </c>
      <c r="G226">
        <f t="shared" si="7"/>
        <v>100.63902169555567</v>
      </c>
      <c r="H226">
        <v>100.6301</v>
      </c>
      <c r="I226">
        <f t="shared" si="8"/>
        <v>0.23070347256958712</v>
      </c>
    </row>
    <row r="227" spans="1:9" x14ac:dyDescent="0.3">
      <c r="A227" t="s">
        <v>228</v>
      </c>
      <c r="B227">
        <v>100</v>
      </c>
      <c r="C227">
        <v>3.7699999999999997E-2</v>
      </c>
      <c r="D227">
        <v>4.6399999999999997E-2</v>
      </c>
      <c r="E227">
        <v>11.3292</v>
      </c>
      <c r="F227">
        <v>77296.789999999994</v>
      </c>
      <c r="G227">
        <f t="shared" si="7"/>
        <v>92.466096527430409</v>
      </c>
      <c r="H227">
        <v>92.696799999999996</v>
      </c>
      <c r="I227">
        <f t="shared" si="8"/>
        <v>0.45551634906153993</v>
      </c>
    </row>
    <row r="228" spans="1:9" x14ac:dyDescent="0.3">
      <c r="A228" t="s">
        <v>229</v>
      </c>
      <c r="B228">
        <v>100</v>
      </c>
      <c r="C228">
        <v>3.73E-2</v>
      </c>
      <c r="D228">
        <v>4.1799999999999997E-2</v>
      </c>
      <c r="E228">
        <v>2.4203000000000001</v>
      </c>
      <c r="F228">
        <v>8279.02</v>
      </c>
      <c r="G228">
        <f t="shared" si="7"/>
        <v>98.984183650938462</v>
      </c>
      <c r="H228">
        <v>99.439700000000002</v>
      </c>
      <c r="I228">
        <f t="shared" si="8"/>
        <v>0.46837949803560264</v>
      </c>
    </row>
    <row r="229" spans="1:9" x14ac:dyDescent="0.3">
      <c r="A229" t="s">
        <v>230</v>
      </c>
      <c r="B229">
        <v>100</v>
      </c>
      <c r="C229">
        <v>3.8399999999999997E-2</v>
      </c>
      <c r="D229">
        <v>0.04</v>
      </c>
      <c r="E229">
        <v>16.7255</v>
      </c>
      <c r="F229">
        <v>81897.63</v>
      </c>
      <c r="G229">
        <f t="shared" si="7"/>
        <v>98.075720501964398</v>
      </c>
      <c r="H229">
        <v>98.5441</v>
      </c>
      <c r="I229">
        <f t="shared" si="8"/>
        <v>0.46412370834416095</v>
      </c>
    </row>
    <row r="230" spans="1:9" x14ac:dyDescent="0.3">
      <c r="A230" t="s">
        <v>231</v>
      </c>
      <c r="B230">
        <v>100</v>
      </c>
      <c r="C230">
        <v>4.24E-2</v>
      </c>
      <c r="D230">
        <v>4.7500000000000001E-2</v>
      </c>
      <c r="E230">
        <v>4.1424000000000003</v>
      </c>
      <c r="F230">
        <v>4098.18</v>
      </c>
      <c r="G230">
        <f t="shared" si="7"/>
        <v>98.122276291655837</v>
      </c>
      <c r="H230">
        <v>98.586399999999998</v>
      </c>
      <c r="I230">
        <f t="shared" si="8"/>
        <v>0.45803454377222863</v>
      </c>
    </row>
    <row r="231" spans="1:9" x14ac:dyDescent="0.3">
      <c r="A231" t="s">
        <v>232</v>
      </c>
      <c r="B231">
        <v>100</v>
      </c>
      <c r="C231">
        <v>3.3099999999999997E-2</v>
      </c>
      <c r="D231">
        <v>4.1700000000000001E-2</v>
      </c>
      <c r="E231">
        <v>2.7105000000000001</v>
      </c>
      <c r="F231">
        <v>81811.63</v>
      </c>
      <c r="G231">
        <f t="shared" si="7"/>
        <v>97.83816545622777</v>
      </c>
      <c r="H231">
        <v>98.296199999999999</v>
      </c>
      <c r="I231">
        <f t="shared" si="8"/>
        <v>0.50911196441545314</v>
      </c>
    </row>
    <row r="232" spans="1:9" x14ac:dyDescent="0.3">
      <c r="A232" t="s">
        <v>233</v>
      </c>
      <c r="B232">
        <v>100</v>
      </c>
      <c r="C232">
        <v>4.5499999999999999E-2</v>
      </c>
      <c r="D232">
        <v>3.9899999999999998E-2</v>
      </c>
      <c r="E232">
        <v>18.975999999999999</v>
      </c>
      <c r="F232">
        <v>447883.15</v>
      </c>
      <c r="G232">
        <f t="shared" si="7"/>
        <v>107.35498803558454</v>
      </c>
      <c r="H232">
        <v>107.86409999999999</v>
      </c>
      <c r="I232">
        <f t="shared" si="8"/>
        <v>0.15030994967105471</v>
      </c>
    </row>
    <row r="233" spans="1:9" x14ac:dyDescent="0.3">
      <c r="A233" t="s">
        <v>234</v>
      </c>
      <c r="B233">
        <v>100</v>
      </c>
      <c r="C233">
        <v>3.0599999999999999E-2</v>
      </c>
      <c r="D233">
        <v>0.04</v>
      </c>
      <c r="E233">
        <v>8.2245000000000008</v>
      </c>
      <c r="F233">
        <v>3908.64</v>
      </c>
      <c r="G233">
        <f t="shared" si="7"/>
        <v>93.520690050328952</v>
      </c>
      <c r="H233">
        <v>93.671000000000006</v>
      </c>
      <c r="I233">
        <f t="shared" si="8"/>
        <v>0.44952476549762821</v>
      </c>
    </row>
    <row r="234" spans="1:9" x14ac:dyDescent="0.3">
      <c r="A234" t="s">
        <v>235</v>
      </c>
      <c r="B234">
        <v>100</v>
      </c>
      <c r="C234">
        <v>3.3599999999999998E-2</v>
      </c>
      <c r="D234">
        <v>4.0599999999999997E-2</v>
      </c>
      <c r="E234">
        <v>6.0232999999999999</v>
      </c>
      <c r="F234">
        <v>40207.75</v>
      </c>
      <c r="G234">
        <f t="shared" si="7"/>
        <v>96.325075234502378</v>
      </c>
      <c r="H234">
        <v>96.774600000000007</v>
      </c>
      <c r="I234">
        <f t="shared" si="8"/>
        <v>1.2534303808937466</v>
      </c>
    </row>
    <row r="235" spans="1:9" x14ac:dyDescent="0.3">
      <c r="A235" t="s">
        <v>236</v>
      </c>
      <c r="B235">
        <v>100</v>
      </c>
      <c r="C235">
        <v>3.4500000000000003E-2</v>
      </c>
      <c r="D235">
        <v>4.7600000000000003E-2</v>
      </c>
      <c r="E235">
        <v>2.4394</v>
      </c>
      <c r="F235">
        <v>40717.94</v>
      </c>
      <c r="G235">
        <f t="shared" si="7"/>
        <v>97.048669619106249</v>
      </c>
      <c r="H235">
        <v>98.302099999999996</v>
      </c>
      <c r="I235">
        <f t="shared" si="8"/>
        <v>0.74139350489923572</v>
      </c>
    </row>
    <row r="236" spans="1:9" x14ac:dyDescent="0.3">
      <c r="A236" t="s">
        <v>237</v>
      </c>
      <c r="B236">
        <v>100</v>
      </c>
      <c r="C236">
        <v>3.5499999999999997E-2</v>
      </c>
      <c r="D236">
        <v>4.0599999999999997E-2</v>
      </c>
      <c r="E236">
        <v>0.79949999999999999</v>
      </c>
      <c r="F236">
        <v>16658.25</v>
      </c>
      <c r="G236">
        <f t="shared" si="7"/>
        <v>99.606606495100763</v>
      </c>
      <c r="H236">
        <v>100.348</v>
      </c>
      <c r="I236">
        <f t="shared" si="8"/>
        <v>0.93699212746119542</v>
      </c>
    </row>
    <row r="237" spans="1:9" x14ac:dyDescent="0.3">
      <c r="A237" t="s">
        <v>238</v>
      </c>
      <c r="B237">
        <v>100</v>
      </c>
      <c r="C237">
        <v>4.8399999999999999E-2</v>
      </c>
      <c r="D237">
        <v>3.9899999999999998E-2</v>
      </c>
      <c r="E237">
        <v>9.0075000000000003</v>
      </c>
      <c r="F237">
        <v>177645.41</v>
      </c>
      <c r="G237">
        <f t="shared" si="7"/>
        <v>106.32730787253881</v>
      </c>
      <c r="H237">
        <v>107.26430000000001</v>
      </c>
      <c r="I237">
        <f t="shared" si="8"/>
        <v>1.7182418772705432E-2</v>
      </c>
    </row>
    <row r="238" spans="1:9" x14ac:dyDescent="0.3">
      <c r="A238" t="s">
        <v>239</v>
      </c>
      <c r="B238">
        <v>100</v>
      </c>
      <c r="C238">
        <v>4.0300000000000002E-2</v>
      </c>
      <c r="D238">
        <v>3.8100000000000002E-2</v>
      </c>
      <c r="E238">
        <v>15.3484</v>
      </c>
      <c r="F238">
        <v>427921.64</v>
      </c>
      <c r="G238">
        <f t="shared" si="7"/>
        <v>102.5215175812273</v>
      </c>
      <c r="H238">
        <v>102.53870000000001</v>
      </c>
      <c r="I238">
        <f t="shared" si="8"/>
        <v>0.73836763985794107</v>
      </c>
    </row>
    <row r="239" spans="1:9" x14ac:dyDescent="0.3">
      <c r="A239" t="s">
        <v>240</v>
      </c>
      <c r="B239">
        <v>100</v>
      </c>
      <c r="C239">
        <v>3.1899999999999998E-2</v>
      </c>
      <c r="D239">
        <v>3.85E-2</v>
      </c>
      <c r="E239">
        <v>17.128</v>
      </c>
      <c r="F239">
        <v>383356.85</v>
      </c>
      <c r="G239">
        <f t="shared" si="7"/>
        <v>91.832932360142053</v>
      </c>
      <c r="H239">
        <v>92.571299999999994</v>
      </c>
      <c r="I239">
        <f t="shared" si="8"/>
        <v>0.59025327085774393</v>
      </c>
    </row>
    <row r="240" spans="1:9" x14ac:dyDescent="0.3">
      <c r="A240" t="s">
        <v>241</v>
      </c>
      <c r="B240">
        <v>100</v>
      </c>
      <c r="C240">
        <v>2.0400000000000001E-2</v>
      </c>
      <c r="D240">
        <v>3.9E-2</v>
      </c>
      <c r="E240">
        <v>4.8433000000000002</v>
      </c>
      <c r="F240">
        <v>15429.13</v>
      </c>
      <c r="G240">
        <f t="shared" si="7"/>
        <v>91.933146729142251</v>
      </c>
      <c r="H240">
        <v>92.523399999999995</v>
      </c>
      <c r="I240">
        <f t="shared" si="8"/>
        <v>0.39132533241000544</v>
      </c>
    </row>
    <row r="241" spans="1:9" x14ac:dyDescent="0.3">
      <c r="A241" t="s">
        <v>242</v>
      </c>
      <c r="B241">
        <v>100</v>
      </c>
      <c r="C241">
        <v>3.2599999999999997E-2</v>
      </c>
      <c r="D241">
        <v>4.65E-2</v>
      </c>
      <c r="E241">
        <v>20.090299999999999</v>
      </c>
      <c r="F241">
        <v>13699.01</v>
      </c>
      <c r="G241">
        <f t="shared" si="7"/>
        <v>82.102374667589999</v>
      </c>
      <c r="H241">
        <v>82.493700000000004</v>
      </c>
      <c r="I241">
        <f t="shared" si="8"/>
        <v>0.40871979324350605</v>
      </c>
    </row>
    <row r="242" spans="1:9" x14ac:dyDescent="0.3">
      <c r="A242" t="s">
        <v>243</v>
      </c>
      <c r="B242">
        <v>100</v>
      </c>
      <c r="C242">
        <v>4.4200000000000003E-2</v>
      </c>
      <c r="D242">
        <v>3.9300000000000002E-2</v>
      </c>
      <c r="E242">
        <v>3.9699</v>
      </c>
      <c r="F242">
        <v>424129.07</v>
      </c>
      <c r="G242">
        <f t="shared" si="7"/>
        <v>101.76918020675649</v>
      </c>
      <c r="H242">
        <v>102.17789999999999</v>
      </c>
      <c r="I242">
        <f t="shared" si="8"/>
        <v>0.38951456572982579</v>
      </c>
    </row>
    <row r="243" spans="1:9" x14ac:dyDescent="0.3">
      <c r="A243" t="s">
        <v>244</v>
      </c>
      <c r="B243">
        <v>100</v>
      </c>
      <c r="C243">
        <v>2.6499999999999999E-2</v>
      </c>
      <c r="D243">
        <v>4.4299999999999999E-2</v>
      </c>
      <c r="E243">
        <v>5.2100999999999997</v>
      </c>
      <c r="F243">
        <v>38449.25</v>
      </c>
      <c r="G243">
        <f t="shared" si="7"/>
        <v>91.877285434270178</v>
      </c>
      <c r="H243">
        <v>92.266800000000003</v>
      </c>
      <c r="I243">
        <f t="shared" si="8"/>
        <v>0.29763805044946423</v>
      </c>
    </row>
    <row r="244" spans="1:9" x14ac:dyDescent="0.3">
      <c r="A244" t="s">
        <v>245</v>
      </c>
      <c r="B244">
        <v>100</v>
      </c>
      <c r="C244">
        <v>3.73E-2</v>
      </c>
      <c r="D244">
        <v>3.9699999999999999E-2</v>
      </c>
      <c r="E244">
        <v>12.0794</v>
      </c>
      <c r="F244">
        <v>408007.72</v>
      </c>
      <c r="G244">
        <f t="shared" si="7"/>
        <v>97.731961949550538</v>
      </c>
      <c r="H244">
        <v>98.029600000000002</v>
      </c>
      <c r="I244">
        <f t="shared" si="8"/>
        <v>0.20833851950057181</v>
      </c>
    </row>
    <row r="245" spans="1:9" x14ac:dyDescent="0.3">
      <c r="A245" t="s">
        <v>246</v>
      </c>
      <c r="B245">
        <v>100</v>
      </c>
      <c r="C245">
        <v>3.8899999999999997E-2</v>
      </c>
      <c r="D245">
        <v>4.7100000000000003E-2</v>
      </c>
      <c r="E245">
        <v>13.6235</v>
      </c>
      <c r="F245">
        <v>3835.99</v>
      </c>
      <c r="G245">
        <f t="shared" si="7"/>
        <v>91.890261480499433</v>
      </c>
      <c r="H245">
        <v>92.098600000000005</v>
      </c>
      <c r="I245">
        <f t="shared" si="8"/>
        <v>0.99756477171385427</v>
      </c>
    </row>
    <row r="246" spans="1:9" x14ac:dyDescent="0.3">
      <c r="A246" t="s">
        <v>247</v>
      </c>
      <c r="B246">
        <v>100</v>
      </c>
      <c r="C246">
        <v>3.2399999999999998E-2</v>
      </c>
      <c r="D246">
        <v>3.9300000000000002E-2</v>
      </c>
      <c r="E246">
        <v>1.3744000000000001</v>
      </c>
      <c r="F246">
        <v>8294.06</v>
      </c>
      <c r="G246">
        <f t="shared" si="7"/>
        <v>99.094035228286145</v>
      </c>
      <c r="H246">
        <v>100.0916</v>
      </c>
      <c r="I246">
        <f t="shared" si="8"/>
        <v>-2.4580952110071053E-2</v>
      </c>
    </row>
    <row r="247" spans="1:9" x14ac:dyDescent="0.3">
      <c r="A247" t="s">
        <v>248</v>
      </c>
      <c r="B247">
        <v>100</v>
      </c>
      <c r="C247">
        <v>4.3099999999999999E-2</v>
      </c>
      <c r="D247">
        <v>3.8800000000000001E-2</v>
      </c>
      <c r="E247">
        <v>6.4038000000000004</v>
      </c>
      <c r="F247">
        <v>17080.759999999998</v>
      </c>
      <c r="G247">
        <f t="shared" si="7"/>
        <v>102.39748095211007</v>
      </c>
      <c r="H247">
        <v>102.3729</v>
      </c>
      <c r="I247">
        <f t="shared" si="8"/>
        <v>0.74376029043840219</v>
      </c>
    </row>
    <row r="248" spans="1:9" x14ac:dyDescent="0.3">
      <c r="A248" t="s">
        <v>249</v>
      </c>
      <c r="B248">
        <v>100</v>
      </c>
      <c r="C248">
        <v>2.1100000000000001E-2</v>
      </c>
      <c r="D248">
        <v>4.1300000000000003E-2</v>
      </c>
      <c r="E248">
        <v>2.1766000000000001</v>
      </c>
      <c r="F248">
        <v>40146.800000000003</v>
      </c>
      <c r="G248">
        <f t="shared" si="7"/>
        <v>95.875939709561592</v>
      </c>
      <c r="H248">
        <v>96.619699999999995</v>
      </c>
      <c r="I248">
        <f t="shared" si="8"/>
        <v>0.77567290479537121</v>
      </c>
    </row>
    <row r="249" spans="1:9" x14ac:dyDescent="0.3">
      <c r="A249" t="s">
        <v>250</v>
      </c>
      <c r="B249">
        <v>100</v>
      </c>
      <c r="C249">
        <v>3.5700000000000003E-2</v>
      </c>
      <c r="D249">
        <v>4.7100000000000003E-2</v>
      </c>
      <c r="E249">
        <v>13.7522</v>
      </c>
      <c r="F249">
        <v>37034.75</v>
      </c>
      <c r="G249">
        <f t="shared" si="7"/>
        <v>88.649127095204634</v>
      </c>
      <c r="H249">
        <v>89.424800000000005</v>
      </c>
      <c r="I249">
        <f t="shared" si="8"/>
        <v>0.50119610170017381</v>
      </c>
    </row>
    <row r="250" spans="1:9" x14ac:dyDescent="0.3">
      <c r="A250" t="s">
        <v>251</v>
      </c>
      <c r="B250">
        <v>100</v>
      </c>
      <c r="C250">
        <v>3.0300000000000001E-2</v>
      </c>
      <c r="D250">
        <v>4.4900000000000002E-2</v>
      </c>
      <c r="E250">
        <v>8.7364999999999995</v>
      </c>
      <c r="F250">
        <v>37482.32</v>
      </c>
      <c r="G250">
        <f t="shared" si="7"/>
        <v>89.637703898299833</v>
      </c>
      <c r="H250">
        <v>90.138900000000007</v>
      </c>
      <c r="I250">
        <f t="shared" si="8"/>
        <v>0.2805660749188803</v>
      </c>
    </row>
    <row r="251" spans="1:9" x14ac:dyDescent="0.3">
      <c r="A251" t="s">
        <v>252</v>
      </c>
      <c r="B251">
        <v>100</v>
      </c>
      <c r="C251">
        <v>3.3099999999999997E-2</v>
      </c>
      <c r="D251">
        <v>4.5400000000000003E-2</v>
      </c>
      <c r="E251">
        <v>7.1896000000000004</v>
      </c>
      <c r="F251">
        <v>38699.75</v>
      </c>
      <c r="G251">
        <f t="shared" si="7"/>
        <v>92.596133925081119</v>
      </c>
      <c r="H251">
        <v>92.8767</v>
      </c>
      <c r="I251">
        <f t="shared" si="8"/>
        <v>0.28113146956665958</v>
      </c>
    </row>
    <row r="252" spans="1:9" x14ac:dyDescent="0.3">
      <c r="A252" t="s">
        <v>253</v>
      </c>
      <c r="B252">
        <v>100</v>
      </c>
      <c r="C252">
        <v>3.9899999999999998E-2</v>
      </c>
      <c r="D252">
        <v>4.0899999999999999E-2</v>
      </c>
      <c r="E252">
        <v>5.6783000000000001</v>
      </c>
      <c r="F252">
        <v>52343.31</v>
      </c>
      <c r="G252">
        <f t="shared" si="7"/>
        <v>99.502268530433341</v>
      </c>
      <c r="H252">
        <v>99.7834</v>
      </c>
      <c r="I252">
        <f t="shared" si="8"/>
        <v>0.20462187521420105</v>
      </c>
    </row>
    <row r="253" spans="1:9" x14ac:dyDescent="0.3">
      <c r="A253" t="s">
        <v>254</v>
      </c>
      <c r="B253">
        <v>100</v>
      </c>
      <c r="C253">
        <v>1.9400000000000001E-2</v>
      </c>
      <c r="D253">
        <v>4.0099999999999997E-2</v>
      </c>
      <c r="E253">
        <v>17.133500000000002</v>
      </c>
      <c r="F253">
        <v>3927.12</v>
      </c>
      <c r="G253">
        <f t="shared" si="7"/>
        <v>74.698078124785795</v>
      </c>
      <c r="H253">
        <v>74.902699999999996</v>
      </c>
      <c r="I253">
        <f t="shared" si="8"/>
        <v>2.3005574118641903E-2</v>
      </c>
    </row>
    <row r="254" spans="1:9" x14ac:dyDescent="0.3">
      <c r="A254" t="s">
        <v>255</v>
      </c>
      <c r="B254">
        <v>100</v>
      </c>
      <c r="C254">
        <v>1.9300000000000001E-2</v>
      </c>
      <c r="D254">
        <v>4.3799999999999999E-2</v>
      </c>
      <c r="E254">
        <v>12.564</v>
      </c>
      <c r="F254">
        <v>8059.37</v>
      </c>
      <c r="G254">
        <f t="shared" si="7"/>
        <v>76.70649442588136</v>
      </c>
      <c r="H254">
        <v>76.729500000000002</v>
      </c>
      <c r="I254">
        <f t="shared" si="8"/>
        <v>0.31522026917423318</v>
      </c>
    </row>
    <row r="255" spans="1:9" x14ac:dyDescent="0.3">
      <c r="A255" t="s">
        <v>256</v>
      </c>
      <c r="B255">
        <v>100</v>
      </c>
      <c r="C255">
        <v>2.8199999999999999E-2</v>
      </c>
      <c r="D255">
        <v>4.5499999999999999E-2</v>
      </c>
      <c r="E255">
        <v>4.1889000000000003</v>
      </c>
      <c r="F255">
        <v>19722.900000000001</v>
      </c>
      <c r="G255">
        <f t="shared" si="7"/>
        <v>93.534479730825765</v>
      </c>
      <c r="H255">
        <v>93.849699999999999</v>
      </c>
      <c r="I255">
        <f t="shared" si="8"/>
        <v>0.59268166299992231</v>
      </c>
    </row>
    <row r="256" spans="1:9" x14ac:dyDescent="0.3">
      <c r="A256" t="s">
        <v>257</v>
      </c>
      <c r="B256">
        <v>100</v>
      </c>
      <c r="C256">
        <v>4.41E-2</v>
      </c>
      <c r="D256">
        <v>4.2599999999999999E-2</v>
      </c>
      <c r="E256">
        <v>3.4359999999999999</v>
      </c>
      <c r="F256">
        <v>10564.18</v>
      </c>
      <c r="G256">
        <f t="shared" si="7"/>
        <v>100.47021833700008</v>
      </c>
      <c r="H256">
        <v>101.0629</v>
      </c>
      <c r="I256">
        <f t="shared" si="8"/>
        <v>1.1172178424856156</v>
      </c>
    </row>
    <row r="257" spans="1:9" x14ac:dyDescent="0.3">
      <c r="A257" t="s">
        <v>258</v>
      </c>
      <c r="B257">
        <v>100</v>
      </c>
      <c r="C257">
        <v>1.55E-2</v>
      </c>
      <c r="D257">
        <v>4.2700000000000002E-2</v>
      </c>
      <c r="E257">
        <v>1.4428000000000001</v>
      </c>
      <c r="F257">
        <v>512137.8</v>
      </c>
      <c r="G257">
        <f t="shared" si="7"/>
        <v>96.270682157514386</v>
      </c>
      <c r="H257">
        <v>97.387900000000002</v>
      </c>
      <c r="I257">
        <f t="shared" si="8"/>
        <v>0.64604201805182981</v>
      </c>
    </row>
    <row r="258" spans="1:9" x14ac:dyDescent="0.3">
      <c r="A258" t="s">
        <v>259</v>
      </c>
      <c r="B258">
        <v>100</v>
      </c>
      <c r="C258">
        <v>1.0699999999999999E-2</v>
      </c>
      <c r="D258">
        <v>4.1099999999999998E-2</v>
      </c>
      <c r="E258">
        <v>8.8377999999999997</v>
      </c>
      <c r="F258">
        <v>4122.79</v>
      </c>
      <c r="G258">
        <f t="shared" si="7"/>
        <v>77.846857981948176</v>
      </c>
      <c r="H258">
        <v>78.492900000000006</v>
      </c>
      <c r="I258">
        <f t="shared" si="8"/>
        <v>0.49979041205536134</v>
      </c>
    </row>
    <row r="259" spans="1:9" x14ac:dyDescent="0.3">
      <c r="A259" t="s">
        <v>260</v>
      </c>
      <c r="B259">
        <v>100</v>
      </c>
      <c r="C259">
        <v>4.0399999999999998E-2</v>
      </c>
      <c r="D259">
        <v>4.4400000000000002E-2</v>
      </c>
      <c r="E259">
        <v>7.2361000000000004</v>
      </c>
      <c r="F259">
        <v>5134.8100000000004</v>
      </c>
      <c r="G259">
        <f t="shared" ref="G259:G301" si="9">B259*(C259*((1-(1+D259)^(-E259))/D259)+(1+D259)^(-E259))</f>
        <v>97.569909587944636</v>
      </c>
      <c r="H259">
        <v>98.069699999999997</v>
      </c>
      <c r="I259">
        <f t="shared" si="8"/>
        <v>0.27406461052684961</v>
      </c>
    </row>
    <row r="260" spans="1:9" x14ac:dyDescent="0.3">
      <c r="A260" t="s">
        <v>261</v>
      </c>
      <c r="B260">
        <v>100</v>
      </c>
      <c r="C260">
        <v>3.7199999999999997E-2</v>
      </c>
      <c r="D260">
        <v>4.0500000000000001E-2</v>
      </c>
      <c r="E260">
        <v>5.9329000000000001</v>
      </c>
      <c r="F260">
        <v>103504.18</v>
      </c>
      <c r="G260">
        <f t="shared" si="9"/>
        <v>98.290035389473147</v>
      </c>
      <c r="H260">
        <v>98.564099999999996</v>
      </c>
      <c r="I260">
        <f t="shared" si="8"/>
        <v>0.33321734116513824</v>
      </c>
    </row>
    <row r="261" spans="1:9" x14ac:dyDescent="0.3">
      <c r="A261" t="s">
        <v>262</v>
      </c>
      <c r="B261">
        <v>100</v>
      </c>
      <c r="C261">
        <v>3.3099999999999997E-2</v>
      </c>
      <c r="D261">
        <v>4.1000000000000002E-2</v>
      </c>
      <c r="E261">
        <v>0.8296</v>
      </c>
      <c r="F261">
        <v>523964.38</v>
      </c>
      <c r="G261">
        <f t="shared" si="9"/>
        <v>99.368282658834858</v>
      </c>
      <c r="H261">
        <v>99.701499999999996</v>
      </c>
      <c r="I261">
        <f t="shared" si="8"/>
        <v>0.51538178057579387</v>
      </c>
    </row>
    <row r="262" spans="1:9" x14ac:dyDescent="0.3">
      <c r="A262" t="s">
        <v>263</v>
      </c>
      <c r="B262">
        <v>100</v>
      </c>
      <c r="C262">
        <v>2.2800000000000001E-2</v>
      </c>
      <c r="D262">
        <v>4.0099999999999997E-2</v>
      </c>
      <c r="E262">
        <v>10.0862</v>
      </c>
      <c r="F262">
        <v>9032.4699999999993</v>
      </c>
      <c r="G262">
        <f t="shared" si="9"/>
        <v>85.876618219424202</v>
      </c>
      <c r="H262">
        <v>86.391999999999996</v>
      </c>
      <c r="I262">
        <f t="shared" si="8"/>
        <v>1.3934207244610235</v>
      </c>
    </row>
    <row r="263" spans="1:9" x14ac:dyDescent="0.3">
      <c r="A263" t="s">
        <v>264</v>
      </c>
      <c r="B263">
        <v>100</v>
      </c>
      <c r="C263">
        <v>1.14E-2</v>
      </c>
      <c r="D263">
        <v>4.0599999999999997E-2</v>
      </c>
      <c r="E263">
        <v>0.99660000000000004</v>
      </c>
      <c r="F263">
        <v>10369.56</v>
      </c>
      <c r="G263">
        <f t="shared" si="9"/>
        <v>97.203279275538975</v>
      </c>
      <c r="H263">
        <v>98.596699999999998</v>
      </c>
      <c r="I263">
        <f t="shared" si="8"/>
        <v>1.1974104850715293</v>
      </c>
    </row>
    <row r="264" spans="1:9" x14ac:dyDescent="0.3">
      <c r="A264" t="s">
        <v>265</v>
      </c>
      <c r="B264">
        <v>100</v>
      </c>
      <c r="C264">
        <v>2.4500000000000001E-2</v>
      </c>
      <c r="D264">
        <v>4.4600000000000001E-2</v>
      </c>
      <c r="E264">
        <v>1.4346000000000001</v>
      </c>
      <c r="F264">
        <v>206308.77</v>
      </c>
      <c r="G264">
        <f t="shared" si="9"/>
        <v>97.265389514928472</v>
      </c>
      <c r="H264">
        <v>98.462800000000001</v>
      </c>
      <c r="I264">
        <f t="shared" si="8"/>
        <v>0.46049914509978862</v>
      </c>
    </row>
    <row r="265" spans="1:9" x14ac:dyDescent="0.3">
      <c r="A265" t="s">
        <v>266</v>
      </c>
      <c r="B265">
        <v>100</v>
      </c>
      <c r="C265">
        <v>4.2700000000000002E-2</v>
      </c>
      <c r="D265">
        <v>4.7899999999999998E-2</v>
      </c>
      <c r="E265">
        <v>24.914400000000001</v>
      </c>
      <c r="F265">
        <v>19472.52</v>
      </c>
      <c r="G265">
        <f t="shared" si="9"/>
        <v>92.52790085490021</v>
      </c>
      <c r="H265">
        <v>92.988399999999999</v>
      </c>
      <c r="I265">
        <f t="shared" si="8"/>
        <v>0.62773615491961721</v>
      </c>
    </row>
    <row r="266" spans="1:9" x14ac:dyDescent="0.3">
      <c r="A266" t="s">
        <v>267</v>
      </c>
      <c r="B266">
        <v>100</v>
      </c>
      <c r="C266">
        <v>4.3700000000000003E-2</v>
      </c>
      <c r="D266">
        <v>0.04</v>
      </c>
      <c r="E266">
        <v>1.5825</v>
      </c>
      <c r="F266">
        <v>5288.4</v>
      </c>
      <c r="G266">
        <f t="shared" si="9"/>
        <v>100.55666384508038</v>
      </c>
      <c r="H266">
        <v>101.1844</v>
      </c>
      <c r="I266">
        <f t="shared" si="8"/>
        <v>0.18258554595576015</v>
      </c>
    </row>
    <row r="267" spans="1:9" x14ac:dyDescent="0.3">
      <c r="A267" t="s">
        <v>268</v>
      </c>
      <c r="B267">
        <v>100</v>
      </c>
      <c r="C267">
        <v>1.89E-2</v>
      </c>
      <c r="D267">
        <v>2.53E-2</v>
      </c>
      <c r="E267">
        <v>17.245699999999999</v>
      </c>
      <c r="F267">
        <v>16561.919999999998</v>
      </c>
      <c r="G267">
        <f t="shared" si="9"/>
        <v>91.144514454044241</v>
      </c>
      <c r="H267">
        <v>91.327100000000002</v>
      </c>
      <c r="I267">
        <f t="shared" si="8"/>
        <v>0.58752273752682527</v>
      </c>
    </row>
    <row r="268" spans="1:9" x14ac:dyDescent="0.3">
      <c r="A268" t="s">
        <v>269</v>
      </c>
      <c r="B268">
        <v>100</v>
      </c>
      <c r="C268">
        <v>2.4799999999999999E-2</v>
      </c>
      <c r="D268">
        <v>3.1300000000000001E-2</v>
      </c>
      <c r="E268">
        <v>3.5701999999999998</v>
      </c>
      <c r="F268">
        <v>177715.58</v>
      </c>
      <c r="G268">
        <f t="shared" si="9"/>
        <v>97.836177262473171</v>
      </c>
      <c r="H268">
        <v>98.423699999999997</v>
      </c>
      <c r="I268">
        <f t="shared" si="8"/>
        <v>0.42195016575175259</v>
      </c>
    </row>
    <row r="269" spans="1:9" x14ac:dyDescent="0.3">
      <c r="A269" t="s">
        <v>270</v>
      </c>
      <c r="B269">
        <v>100</v>
      </c>
      <c r="C269">
        <v>2.6700000000000002E-2</v>
      </c>
      <c r="D269">
        <v>3.09E-2</v>
      </c>
      <c r="E269">
        <v>2.5188000000000001</v>
      </c>
      <c r="F269">
        <v>4494.6000000000004</v>
      </c>
      <c r="G269">
        <f t="shared" si="9"/>
        <v>98.997049834248244</v>
      </c>
      <c r="H269">
        <v>99.418999999999997</v>
      </c>
      <c r="I269">
        <f t="shared" si="8"/>
        <v>0.54257412580096798</v>
      </c>
    </row>
    <row r="270" spans="1:9" x14ac:dyDescent="0.3">
      <c r="A270" t="s">
        <v>271</v>
      </c>
      <c r="B270">
        <v>100</v>
      </c>
      <c r="C270">
        <v>8.8000000000000005E-3</v>
      </c>
      <c r="D270">
        <v>2.7799999999999998E-2</v>
      </c>
      <c r="E270">
        <v>11.885</v>
      </c>
      <c r="F270">
        <v>36959.230000000003</v>
      </c>
      <c r="G270">
        <f t="shared" si="9"/>
        <v>80.991925874199026</v>
      </c>
      <c r="H270">
        <v>81.534499999999994</v>
      </c>
      <c r="I270">
        <f t="shared" si="8"/>
        <v>0.42960608607390327</v>
      </c>
    </row>
    <row r="271" spans="1:9" x14ac:dyDescent="0.3">
      <c r="A271" t="s">
        <v>272</v>
      </c>
      <c r="B271">
        <v>100</v>
      </c>
      <c r="C271">
        <v>2.3599999999999999E-2</v>
      </c>
      <c r="D271">
        <v>2.5600000000000001E-2</v>
      </c>
      <c r="E271">
        <v>12.7036</v>
      </c>
      <c r="F271">
        <v>88867.78</v>
      </c>
      <c r="G271">
        <f t="shared" si="9"/>
        <v>97.854193913926096</v>
      </c>
      <c r="H271">
        <v>98.283799999999999</v>
      </c>
      <c r="I271">
        <f t="shared" si="8"/>
        <v>0.30607702625464128</v>
      </c>
    </row>
    <row r="272" spans="1:9" x14ac:dyDescent="0.3">
      <c r="A272" t="s">
        <v>273</v>
      </c>
      <c r="B272">
        <v>100</v>
      </c>
      <c r="C272">
        <v>1.12E-2</v>
      </c>
      <c r="D272">
        <v>2.8000000000000001E-2</v>
      </c>
      <c r="E272">
        <v>2.6995</v>
      </c>
      <c r="F272">
        <v>174283.34</v>
      </c>
      <c r="G272">
        <f t="shared" si="9"/>
        <v>95.689822973745365</v>
      </c>
      <c r="H272">
        <v>95.995900000000006</v>
      </c>
      <c r="I272">
        <f t="shared" si="8"/>
        <v>3.4644840961405521E-2</v>
      </c>
    </row>
    <row r="273" spans="1:9" x14ac:dyDescent="0.3">
      <c r="A273" t="s">
        <v>274</v>
      </c>
      <c r="B273">
        <v>100</v>
      </c>
      <c r="C273">
        <v>2.9700000000000001E-2</v>
      </c>
      <c r="D273">
        <v>3.0599999999999999E-2</v>
      </c>
      <c r="E273">
        <v>8.5831999999999997</v>
      </c>
      <c r="F273">
        <v>90192.55</v>
      </c>
      <c r="G273">
        <f t="shared" si="9"/>
        <v>99.329555159038591</v>
      </c>
      <c r="H273">
        <v>99.364199999999997</v>
      </c>
      <c r="I273">
        <f t="shared" si="8"/>
        <v>0.42629726428583581</v>
      </c>
    </row>
    <row r="274" spans="1:9" x14ac:dyDescent="0.3">
      <c r="A274" t="s">
        <v>275</v>
      </c>
      <c r="B274">
        <v>100</v>
      </c>
      <c r="C274">
        <v>5.3E-3</v>
      </c>
      <c r="D274">
        <v>2.7099999999999999E-2</v>
      </c>
      <c r="E274">
        <v>11.830299999999999</v>
      </c>
      <c r="F274">
        <v>35677.14</v>
      </c>
      <c r="G274">
        <f t="shared" si="9"/>
        <v>78.185202735714171</v>
      </c>
      <c r="H274">
        <v>78.611500000000007</v>
      </c>
      <c r="I274">
        <f t="shared" si="8"/>
        <v>0.51040707320822776</v>
      </c>
    </row>
    <row r="275" spans="1:9" x14ac:dyDescent="0.3">
      <c r="A275" t="s">
        <v>276</v>
      </c>
      <c r="B275">
        <v>100</v>
      </c>
      <c r="C275">
        <v>1.9599999999999999E-2</v>
      </c>
      <c r="D275">
        <v>2.6800000000000001E-2</v>
      </c>
      <c r="E275">
        <v>14.8528</v>
      </c>
      <c r="F275">
        <v>4149.5600000000004</v>
      </c>
      <c r="G275">
        <f t="shared" si="9"/>
        <v>91.272792926791766</v>
      </c>
      <c r="H275">
        <v>91.783199999999994</v>
      </c>
      <c r="I275">
        <f t="shared" si="8"/>
        <v>0.14871708854009569</v>
      </c>
    </row>
    <row r="276" spans="1:9" x14ac:dyDescent="0.3">
      <c r="A276" t="s">
        <v>277</v>
      </c>
      <c r="B276">
        <v>100</v>
      </c>
      <c r="C276">
        <v>2.6700000000000002E-2</v>
      </c>
      <c r="D276">
        <v>3.1899999999999998E-2</v>
      </c>
      <c r="E276">
        <v>15.885</v>
      </c>
      <c r="F276">
        <v>85061.440000000002</v>
      </c>
      <c r="G276">
        <f t="shared" si="9"/>
        <v>93.597782911459902</v>
      </c>
      <c r="H276">
        <v>93.746499999999997</v>
      </c>
      <c r="I276">
        <f t="shared" si="8"/>
        <v>2.0604939504295317E-2</v>
      </c>
    </row>
    <row r="277" spans="1:9" x14ac:dyDescent="0.3">
      <c r="A277" t="s">
        <v>278</v>
      </c>
      <c r="B277">
        <v>100</v>
      </c>
      <c r="C277">
        <v>6.0000000000000001E-3</v>
      </c>
      <c r="D277">
        <v>2.8400000000000002E-2</v>
      </c>
      <c r="E277">
        <v>13.070499999999999</v>
      </c>
      <c r="F277">
        <v>137639.18</v>
      </c>
      <c r="G277">
        <f t="shared" si="9"/>
        <v>75.823995060495704</v>
      </c>
      <c r="H277">
        <v>75.8446</v>
      </c>
      <c r="I277">
        <f t="shared" si="8"/>
        <v>0.5706435711606872</v>
      </c>
    </row>
    <row r="278" spans="1:9" x14ac:dyDescent="0.3">
      <c r="A278" t="s">
        <v>279</v>
      </c>
      <c r="B278">
        <v>100</v>
      </c>
      <c r="C278">
        <v>2.87E-2</v>
      </c>
      <c r="D278">
        <v>3.1300000000000001E-2</v>
      </c>
      <c r="E278">
        <v>7.2827000000000002</v>
      </c>
      <c r="F278">
        <v>178652.63</v>
      </c>
      <c r="G278">
        <f t="shared" si="9"/>
        <v>98.32995642883931</v>
      </c>
      <c r="H278">
        <v>98.900599999999997</v>
      </c>
      <c r="I278">
        <f t="shared" si="8"/>
        <v>0.43160841268425543</v>
      </c>
    </row>
    <row r="279" spans="1:9" x14ac:dyDescent="0.3">
      <c r="A279" t="s">
        <v>280</v>
      </c>
      <c r="B279">
        <v>100</v>
      </c>
      <c r="C279">
        <v>8.3000000000000001E-3</v>
      </c>
      <c r="D279">
        <v>2.8799999999999999E-2</v>
      </c>
      <c r="E279">
        <v>19.479800000000001</v>
      </c>
      <c r="F279">
        <v>318540.93</v>
      </c>
      <c r="G279">
        <f t="shared" si="9"/>
        <v>69.760291587315749</v>
      </c>
      <c r="H279">
        <v>70.191900000000004</v>
      </c>
      <c r="I279">
        <f t="shared" si="8"/>
        <v>0.25981549486253641</v>
      </c>
    </row>
    <row r="280" spans="1:9" x14ac:dyDescent="0.3">
      <c r="A280" t="s">
        <v>281</v>
      </c>
      <c r="B280">
        <v>100</v>
      </c>
      <c r="C280">
        <v>1.29E-2</v>
      </c>
      <c r="D280">
        <v>2.52E-2</v>
      </c>
      <c r="E280">
        <v>27.373000000000001</v>
      </c>
      <c r="F280">
        <v>13804.32</v>
      </c>
      <c r="G280">
        <f t="shared" si="9"/>
        <v>75.887284505137458</v>
      </c>
      <c r="H280">
        <v>76.147099999999995</v>
      </c>
      <c r="I280">
        <f t="shared" si="8"/>
        <v>9.8721808183512394E-2</v>
      </c>
    </row>
    <row r="281" spans="1:9" x14ac:dyDescent="0.3">
      <c r="A281" t="s">
        <v>282</v>
      </c>
      <c r="B281">
        <v>100</v>
      </c>
      <c r="C281">
        <v>2.0400000000000001E-2</v>
      </c>
      <c r="D281">
        <v>2.6599999999999999E-2</v>
      </c>
      <c r="E281">
        <v>12.271000000000001</v>
      </c>
      <c r="F281">
        <v>8505.24</v>
      </c>
      <c r="G281">
        <f t="shared" si="9"/>
        <v>93.580778191816492</v>
      </c>
      <c r="H281">
        <v>93.679500000000004</v>
      </c>
      <c r="I281">
        <f t="shared" ref="I281:I300" si="10">H282-G282</f>
        <v>0.30412790065641104</v>
      </c>
    </row>
    <row r="282" spans="1:9" x14ac:dyDescent="0.3">
      <c r="A282" t="s">
        <v>283</v>
      </c>
      <c r="B282">
        <v>100</v>
      </c>
      <c r="C282">
        <v>2.8999999999999998E-3</v>
      </c>
      <c r="D282">
        <v>9.1000000000000004E-3</v>
      </c>
      <c r="E282">
        <v>5.9138000000000002</v>
      </c>
      <c r="F282">
        <v>27.07</v>
      </c>
      <c r="G282">
        <f t="shared" si="9"/>
        <v>96.446072099343596</v>
      </c>
      <c r="H282">
        <v>96.750200000000007</v>
      </c>
      <c r="I282">
        <f t="shared" si="10"/>
        <v>0.18901566038211115</v>
      </c>
    </row>
    <row r="283" spans="1:9" x14ac:dyDescent="0.3">
      <c r="A283" t="s">
        <v>284</v>
      </c>
      <c r="B283">
        <v>100</v>
      </c>
      <c r="C283">
        <v>7.0000000000000001E-3</v>
      </c>
      <c r="D283">
        <v>1.24E-2</v>
      </c>
      <c r="E283">
        <v>24.878900000000002</v>
      </c>
      <c r="F283">
        <v>248.14</v>
      </c>
      <c r="G283">
        <f t="shared" si="9"/>
        <v>88.500784339617894</v>
      </c>
      <c r="H283">
        <v>88.689800000000005</v>
      </c>
      <c r="I283">
        <f t="shared" si="10"/>
        <v>0.28727943808166856</v>
      </c>
    </row>
    <row r="284" spans="1:9" x14ac:dyDescent="0.3">
      <c r="A284" t="s">
        <v>285</v>
      </c>
      <c r="B284">
        <v>100</v>
      </c>
      <c r="C284">
        <v>8.8000000000000005E-3</v>
      </c>
      <c r="D284">
        <v>1.46E-2</v>
      </c>
      <c r="E284">
        <v>6.4010999999999996</v>
      </c>
      <c r="F284">
        <v>54.14</v>
      </c>
      <c r="G284">
        <f t="shared" si="9"/>
        <v>96.480020561918337</v>
      </c>
      <c r="H284">
        <v>96.767300000000006</v>
      </c>
      <c r="I284">
        <f t="shared" si="10"/>
        <v>0.26291868985516942</v>
      </c>
    </row>
    <row r="285" spans="1:9" x14ac:dyDescent="0.3">
      <c r="A285" t="s">
        <v>286</v>
      </c>
      <c r="B285">
        <v>100</v>
      </c>
      <c r="C285">
        <v>1.26E-2</v>
      </c>
      <c r="D285">
        <v>0.01</v>
      </c>
      <c r="E285">
        <v>14.1793</v>
      </c>
      <c r="F285">
        <v>57.9</v>
      </c>
      <c r="G285">
        <f t="shared" si="9"/>
        <v>103.42128131014483</v>
      </c>
      <c r="H285">
        <v>103.6842</v>
      </c>
      <c r="I285">
        <f t="shared" si="10"/>
        <v>0.46298658634651702</v>
      </c>
    </row>
    <row r="286" spans="1:9" x14ac:dyDescent="0.3">
      <c r="A286" t="s">
        <v>287</v>
      </c>
      <c r="B286">
        <v>100</v>
      </c>
      <c r="C286">
        <v>2.3E-3</v>
      </c>
      <c r="D286">
        <v>1.41E-2</v>
      </c>
      <c r="E286">
        <v>3.8904999999999998</v>
      </c>
      <c r="F286">
        <v>2687.55</v>
      </c>
      <c r="G286">
        <f t="shared" si="9"/>
        <v>95.563213413653486</v>
      </c>
      <c r="H286">
        <v>96.026200000000003</v>
      </c>
      <c r="I286">
        <f t="shared" si="10"/>
        <v>0.43279253644092819</v>
      </c>
    </row>
    <row r="287" spans="1:9" x14ac:dyDescent="0.3">
      <c r="A287" t="s">
        <v>288</v>
      </c>
      <c r="B287">
        <v>100</v>
      </c>
      <c r="C287">
        <v>8.6999999999999994E-3</v>
      </c>
      <c r="D287">
        <v>1.41E-2</v>
      </c>
      <c r="E287">
        <v>0.9637</v>
      </c>
      <c r="F287">
        <v>558.5</v>
      </c>
      <c r="G287">
        <f t="shared" si="9"/>
        <v>99.486707463559071</v>
      </c>
      <c r="H287">
        <v>99.919499999999999</v>
      </c>
      <c r="I287">
        <f t="shared" si="10"/>
        <v>0.25412630636988354</v>
      </c>
    </row>
    <row r="288" spans="1:9" x14ac:dyDescent="0.3">
      <c r="A288" t="s">
        <v>289</v>
      </c>
      <c r="B288">
        <v>100</v>
      </c>
      <c r="C288">
        <v>1.3599999999999999E-2</v>
      </c>
      <c r="D288">
        <v>1.2699999999999999E-2</v>
      </c>
      <c r="E288">
        <v>7.4715999999999996</v>
      </c>
      <c r="F288">
        <v>28.17</v>
      </c>
      <c r="G288">
        <f t="shared" si="9"/>
        <v>100.63767369363012</v>
      </c>
      <c r="H288">
        <v>100.8918</v>
      </c>
      <c r="I288">
        <f t="shared" si="10"/>
        <v>0.2202176748667739</v>
      </c>
    </row>
    <row r="289" spans="1:9" x14ac:dyDescent="0.3">
      <c r="A289" t="s">
        <v>290</v>
      </c>
      <c r="B289">
        <v>100</v>
      </c>
      <c r="C289">
        <v>9.4000000000000004E-3</v>
      </c>
      <c r="D289">
        <v>1.0500000000000001E-2</v>
      </c>
      <c r="E289">
        <v>1.2566999999999999</v>
      </c>
      <c r="F289">
        <v>559.39</v>
      </c>
      <c r="G289">
        <f t="shared" si="9"/>
        <v>99.86338232513323</v>
      </c>
      <c r="H289">
        <v>100.0836</v>
      </c>
      <c r="I289">
        <f t="shared" si="10"/>
        <v>0.17014493243127049</v>
      </c>
    </row>
    <row r="290" spans="1:9" x14ac:dyDescent="0.3">
      <c r="A290" t="s">
        <v>291</v>
      </c>
      <c r="B290">
        <v>100</v>
      </c>
      <c r="C290">
        <v>5.1999999999999998E-3</v>
      </c>
      <c r="D290">
        <v>9.1999999999999998E-3</v>
      </c>
      <c r="E290">
        <v>3.3511000000000002</v>
      </c>
      <c r="F290">
        <v>55.34</v>
      </c>
      <c r="G290">
        <f t="shared" si="9"/>
        <v>98.685955067568727</v>
      </c>
      <c r="H290">
        <v>98.856099999999998</v>
      </c>
      <c r="I290">
        <f t="shared" si="10"/>
        <v>0.25909822222787682</v>
      </c>
    </row>
    <row r="291" spans="1:9" x14ac:dyDescent="0.3">
      <c r="A291" t="s">
        <v>292</v>
      </c>
      <c r="B291">
        <v>100</v>
      </c>
      <c r="C291">
        <v>1.1599999999999999E-2</v>
      </c>
      <c r="D291">
        <v>7.9000000000000008E-3</v>
      </c>
      <c r="E291">
        <v>19.507200000000001</v>
      </c>
      <c r="F291">
        <v>59.74</v>
      </c>
      <c r="G291">
        <f t="shared" si="9"/>
        <v>106.66470177777212</v>
      </c>
      <c r="H291">
        <v>106.9238</v>
      </c>
      <c r="I291">
        <f t="shared" si="10"/>
        <v>0.32497458419646819</v>
      </c>
    </row>
    <row r="292" spans="1:9" x14ac:dyDescent="0.3">
      <c r="A292" t="s">
        <v>293</v>
      </c>
      <c r="B292">
        <v>100</v>
      </c>
      <c r="C292">
        <v>3.9699999999999999E-2</v>
      </c>
      <c r="D292">
        <v>4.2200000000000001E-2</v>
      </c>
      <c r="E292">
        <v>2.7077</v>
      </c>
      <c r="F292">
        <v>269905.75</v>
      </c>
      <c r="G292">
        <f t="shared" si="9"/>
        <v>99.372725415803529</v>
      </c>
      <c r="H292">
        <v>99.697699999999998</v>
      </c>
      <c r="I292">
        <f t="shared" si="10"/>
        <v>0.25718896470598906</v>
      </c>
    </row>
    <row r="293" spans="1:9" x14ac:dyDescent="0.3">
      <c r="A293" t="s">
        <v>294</v>
      </c>
      <c r="B293">
        <v>100</v>
      </c>
      <c r="C293">
        <v>3.4599999999999999E-2</v>
      </c>
      <c r="D293">
        <v>3.9300000000000002E-2</v>
      </c>
      <c r="E293">
        <v>4.5585000000000004</v>
      </c>
      <c r="F293">
        <v>53256.9</v>
      </c>
      <c r="G293">
        <f t="shared" si="9"/>
        <v>98.072811035294009</v>
      </c>
      <c r="H293">
        <v>98.33</v>
      </c>
      <c r="I293">
        <f t="shared" si="10"/>
        <v>0.44881999492649527</v>
      </c>
    </row>
    <row r="294" spans="1:9" x14ac:dyDescent="0.3">
      <c r="A294" t="s">
        <v>295</v>
      </c>
      <c r="B294">
        <v>100</v>
      </c>
      <c r="C294">
        <v>2.6700000000000002E-2</v>
      </c>
      <c r="D294">
        <v>3.95E-2</v>
      </c>
      <c r="E294">
        <v>2.2450000000000001</v>
      </c>
      <c r="F294">
        <v>105951.79</v>
      </c>
      <c r="G294">
        <f t="shared" si="9"/>
        <v>97.300780005073506</v>
      </c>
      <c r="H294">
        <v>97.749600000000001</v>
      </c>
      <c r="I294">
        <f t="shared" si="10"/>
        <v>0.6407872445921754</v>
      </c>
    </row>
    <row r="295" spans="1:9" x14ac:dyDescent="0.3">
      <c r="A295" t="s">
        <v>296</v>
      </c>
      <c r="B295">
        <v>100</v>
      </c>
      <c r="C295">
        <v>3.4500000000000003E-2</v>
      </c>
      <c r="D295">
        <v>4.3799999999999999E-2</v>
      </c>
      <c r="E295">
        <v>0.90080000000000005</v>
      </c>
      <c r="F295">
        <v>5405.56</v>
      </c>
      <c r="G295">
        <f t="shared" si="9"/>
        <v>99.195712755407826</v>
      </c>
      <c r="H295">
        <v>99.836500000000001</v>
      </c>
      <c r="I295">
        <f t="shared" si="10"/>
        <v>0.55877742295240296</v>
      </c>
    </row>
    <row r="296" spans="1:9" x14ac:dyDescent="0.3">
      <c r="A296" t="s">
        <v>297</v>
      </c>
      <c r="B296">
        <v>100</v>
      </c>
      <c r="C296">
        <v>3.8600000000000002E-2</v>
      </c>
      <c r="D296">
        <v>4.0099999999999997E-2</v>
      </c>
      <c r="E296">
        <v>0.6653</v>
      </c>
      <c r="F296">
        <v>108520.18</v>
      </c>
      <c r="G296">
        <f t="shared" si="9"/>
        <v>99.903422577047593</v>
      </c>
      <c r="H296">
        <v>100.4622</v>
      </c>
      <c r="I296">
        <f t="shared" si="10"/>
        <v>0.72875052704469567</v>
      </c>
    </row>
    <row r="297" spans="1:9" x14ac:dyDescent="0.3">
      <c r="A297" t="s">
        <v>298</v>
      </c>
      <c r="B297">
        <v>100</v>
      </c>
      <c r="C297">
        <v>3.2500000000000001E-2</v>
      </c>
      <c r="D297">
        <v>4.2200000000000001E-2</v>
      </c>
      <c r="E297">
        <v>12.169700000000001</v>
      </c>
      <c r="F297">
        <v>4938.04</v>
      </c>
      <c r="G297">
        <f t="shared" si="9"/>
        <v>90.913749472955303</v>
      </c>
      <c r="H297">
        <v>91.642499999999998</v>
      </c>
      <c r="I297">
        <f t="shared" si="10"/>
        <v>0.66065568603418967</v>
      </c>
    </row>
    <row r="298" spans="1:9" x14ac:dyDescent="0.3">
      <c r="A298" t="s">
        <v>299</v>
      </c>
      <c r="B298">
        <v>100</v>
      </c>
      <c r="C298">
        <v>2.4299999999999999E-2</v>
      </c>
      <c r="D298">
        <v>4.0599999999999997E-2</v>
      </c>
      <c r="E298">
        <v>4.6242000000000001</v>
      </c>
      <c r="F298">
        <v>2534.7199999999998</v>
      </c>
      <c r="G298">
        <f t="shared" si="9"/>
        <v>93.251544313965809</v>
      </c>
      <c r="H298">
        <v>93.912199999999999</v>
      </c>
      <c r="I298">
        <f t="shared" si="10"/>
        <v>0.17250128872260007</v>
      </c>
    </row>
    <row r="299" spans="1:9" x14ac:dyDescent="0.3">
      <c r="A299" t="s">
        <v>300</v>
      </c>
      <c r="B299">
        <v>100</v>
      </c>
      <c r="C299">
        <v>3.5499999999999997E-2</v>
      </c>
      <c r="D299">
        <v>3.8699999999999998E-2</v>
      </c>
      <c r="E299">
        <v>1.1910000000000001</v>
      </c>
      <c r="F299">
        <v>54131.13</v>
      </c>
      <c r="G299">
        <f t="shared" si="9"/>
        <v>99.634398711277399</v>
      </c>
      <c r="H299">
        <v>99.806899999999999</v>
      </c>
      <c r="I299">
        <f t="shared" si="10"/>
        <v>0.92890772449615611</v>
      </c>
    </row>
    <row r="300" spans="1:9" x14ac:dyDescent="0.3">
      <c r="A300" t="s">
        <v>301</v>
      </c>
      <c r="B300">
        <v>100</v>
      </c>
      <c r="C300">
        <v>2.93E-2</v>
      </c>
      <c r="D300">
        <v>4.3400000000000001E-2</v>
      </c>
      <c r="E300">
        <v>1.3963000000000001</v>
      </c>
      <c r="F300">
        <v>107117.07</v>
      </c>
      <c r="G300">
        <f t="shared" si="9"/>
        <v>98.128792275503841</v>
      </c>
      <c r="H300">
        <v>99.057699999999997</v>
      </c>
      <c r="I300">
        <f t="shared" si="10"/>
        <v>0.23833370681292365</v>
      </c>
    </row>
    <row r="301" spans="1:9" x14ac:dyDescent="0.3">
      <c r="A301" t="s">
        <v>302</v>
      </c>
      <c r="B301">
        <v>100</v>
      </c>
      <c r="C301">
        <v>2.5499999999999998E-2</v>
      </c>
      <c r="D301">
        <v>3.8100000000000002E-2</v>
      </c>
      <c r="E301">
        <v>2.6776</v>
      </c>
      <c r="F301">
        <v>52682.95</v>
      </c>
      <c r="G301">
        <f t="shared" si="9"/>
        <v>96.849266293187071</v>
      </c>
      <c r="H301">
        <v>97.087599999999995</v>
      </c>
      <c r="I301">
        <f>H301-G301</f>
        <v>0.23833370681292365</v>
      </c>
    </row>
    <row r="303" spans="1:9" x14ac:dyDescent="0.3">
      <c r="H303" t="s">
        <v>309</v>
      </c>
      <c r="I303">
        <f>AVERAGE(I2:I302)</f>
        <v>0.82976342373591738</v>
      </c>
    </row>
    <row r="304" spans="1:9" x14ac:dyDescent="0.3">
      <c r="H304" t="s">
        <v>310</v>
      </c>
      <c r="I304" cm="1">
        <f t="array" ref="I304">MAX(ABS(I2:I302))</f>
        <v>2.6228094347545294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2CF5-C089-4283-B34B-21966F3D8D8E}">
  <dimension ref="A1:J301"/>
  <sheetViews>
    <sheetView workbookViewId="0">
      <selection activeCell="H6" sqref="H6"/>
    </sheetView>
  </sheetViews>
  <sheetFormatPr defaultRowHeight="14.4" x14ac:dyDescent="0.3"/>
  <cols>
    <col min="2" max="3" width="15.5546875" bestFit="1" customWidth="1"/>
    <col min="5" max="5" width="15.88671875" bestFit="1" customWidth="1"/>
    <col min="6" max="6" width="8" bestFit="1" customWidth="1"/>
    <col min="7" max="7" width="16.6640625" bestFit="1" customWidth="1"/>
    <col min="8" max="8" width="15.88671875" bestFit="1" customWidth="1"/>
    <col min="9" max="9" width="16.77734375" bestFit="1" customWidth="1"/>
    <col min="10" max="11" width="10" bestFit="1" customWidth="1"/>
    <col min="13" max="13" width="11" bestFit="1" customWidth="1"/>
  </cols>
  <sheetData>
    <row r="1" spans="1:10" x14ac:dyDescent="0.3">
      <c r="A1" t="s">
        <v>0</v>
      </c>
      <c r="B1" t="s">
        <v>307</v>
      </c>
      <c r="C1" t="s">
        <v>311</v>
      </c>
      <c r="D1" t="s">
        <v>312</v>
      </c>
      <c r="E1" t="s">
        <v>313</v>
      </c>
      <c r="F1" t="s">
        <v>318</v>
      </c>
      <c r="G1" t="s">
        <v>314</v>
      </c>
      <c r="H1" t="s">
        <v>315</v>
      </c>
      <c r="I1" t="s">
        <v>316</v>
      </c>
      <c r="J1" t="s">
        <v>317</v>
      </c>
    </row>
    <row r="2" spans="1:10" x14ac:dyDescent="0.3">
      <c r="A2" t="s">
        <v>3</v>
      </c>
      <c r="B2">
        <v>99005.2</v>
      </c>
      <c r="C2">
        <v>1.8488</v>
      </c>
      <c r="D2">
        <v>4.4027000000000003</v>
      </c>
      <c r="E2">
        <v>1.83E-2</v>
      </c>
      <c r="F2">
        <v>100000</v>
      </c>
      <c r="G2">
        <f>SUM(B2:B302)</f>
        <v>32059345.969999988</v>
      </c>
      <c r="H2">
        <f>SUMPRODUCT(B2:B302,C2:C302)/SUM(B2:B302)</f>
        <v>4.2031276593322549</v>
      </c>
      <c r="I2">
        <f>SUMPRODUCT(B2:B302,D2:D302)/SUM(B2:B302)</f>
        <v>44.061199171529481</v>
      </c>
      <c r="J2" cm="1">
        <f t="array" ref="J2">SUMPRODUCT(E2:E302,F2:F302/100)</f>
        <v>8948.2485000000015</v>
      </c>
    </row>
    <row r="3" spans="1:10" x14ac:dyDescent="0.3">
      <c r="A3" t="s">
        <v>4</v>
      </c>
      <c r="B3">
        <v>21826.94</v>
      </c>
      <c r="C3">
        <v>10.7591</v>
      </c>
      <c r="D3">
        <v>170.94409999999999</v>
      </c>
      <c r="E3">
        <v>0.1174</v>
      </c>
      <c r="F3">
        <v>20000</v>
      </c>
    </row>
    <row r="4" spans="1:10" x14ac:dyDescent="0.3">
      <c r="A4" t="s">
        <v>5</v>
      </c>
      <c r="B4">
        <v>19003.8</v>
      </c>
      <c r="C4">
        <v>4.2725</v>
      </c>
      <c r="D4">
        <v>21.775200000000002</v>
      </c>
      <c r="E4">
        <v>4.0599999999999997E-2</v>
      </c>
      <c r="F4">
        <v>20000</v>
      </c>
    </row>
    <row r="5" spans="1:10" x14ac:dyDescent="0.3">
      <c r="A5" t="s">
        <v>6</v>
      </c>
      <c r="B5">
        <v>50839.15</v>
      </c>
      <c r="C5">
        <v>11.9397</v>
      </c>
      <c r="D5">
        <v>215.5283</v>
      </c>
      <c r="E5">
        <v>0.12139999999999999</v>
      </c>
      <c r="F5">
        <v>50000</v>
      </c>
    </row>
    <row r="6" spans="1:10" x14ac:dyDescent="0.3">
      <c r="A6" t="s">
        <v>7</v>
      </c>
      <c r="B6">
        <v>209725.4</v>
      </c>
      <c r="C6">
        <v>9.9939999999999998</v>
      </c>
      <c r="D6">
        <v>142.41730000000001</v>
      </c>
      <c r="E6">
        <v>0.1048</v>
      </c>
      <c r="F6">
        <v>200000</v>
      </c>
    </row>
    <row r="7" spans="1:10" x14ac:dyDescent="0.3">
      <c r="A7" t="s">
        <v>8</v>
      </c>
      <c r="B7">
        <v>9867.43</v>
      </c>
      <c r="C7">
        <v>1.4014</v>
      </c>
      <c r="D7">
        <v>2.6741000000000001</v>
      </c>
      <c r="E7">
        <v>1.38E-2</v>
      </c>
      <c r="F7">
        <v>10000</v>
      </c>
    </row>
    <row r="8" spans="1:10" x14ac:dyDescent="0.3">
      <c r="A8" t="s">
        <v>9</v>
      </c>
      <c r="B8">
        <v>19162.02</v>
      </c>
      <c r="C8">
        <v>11.436</v>
      </c>
      <c r="D8">
        <v>201.833</v>
      </c>
      <c r="E8">
        <v>0.1096</v>
      </c>
      <c r="F8">
        <v>20000</v>
      </c>
    </row>
    <row r="9" spans="1:10" x14ac:dyDescent="0.3">
      <c r="A9" t="s">
        <v>10</v>
      </c>
      <c r="B9">
        <v>94422.9</v>
      </c>
      <c r="C9">
        <v>4.5644</v>
      </c>
      <c r="D9">
        <v>25.064699999999998</v>
      </c>
      <c r="E9">
        <v>4.3099999999999999E-2</v>
      </c>
      <c r="F9">
        <v>100000</v>
      </c>
    </row>
    <row r="10" spans="1:10" x14ac:dyDescent="0.3">
      <c r="A10" t="s">
        <v>11</v>
      </c>
      <c r="B10">
        <v>54175.7</v>
      </c>
      <c r="C10">
        <v>11.7004</v>
      </c>
      <c r="D10">
        <v>206.56219999999999</v>
      </c>
      <c r="E10">
        <v>0.1268</v>
      </c>
      <c r="F10">
        <v>50000</v>
      </c>
    </row>
    <row r="11" spans="1:10" x14ac:dyDescent="0.3">
      <c r="A11" t="s">
        <v>12</v>
      </c>
      <c r="B11">
        <v>84062.2</v>
      </c>
      <c r="C11">
        <v>11.600899999999999</v>
      </c>
      <c r="D11">
        <v>197.37530000000001</v>
      </c>
      <c r="E11">
        <v>9.7500000000000003E-2</v>
      </c>
      <c r="F11">
        <v>100000</v>
      </c>
    </row>
    <row r="12" spans="1:10" x14ac:dyDescent="0.3">
      <c r="A12" t="s">
        <v>13</v>
      </c>
      <c r="B12">
        <v>41277.4</v>
      </c>
      <c r="C12">
        <v>13.1957</v>
      </c>
      <c r="D12">
        <v>272.9803</v>
      </c>
      <c r="E12">
        <v>0.1089</v>
      </c>
      <c r="F12">
        <v>50000</v>
      </c>
    </row>
    <row r="13" spans="1:10" x14ac:dyDescent="0.3">
      <c r="A13" t="s">
        <v>14</v>
      </c>
      <c r="B13">
        <v>51316</v>
      </c>
      <c r="C13">
        <v>4.4919000000000002</v>
      </c>
      <c r="D13">
        <v>24.549299999999999</v>
      </c>
      <c r="E13">
        <v>4.6100000000000002E-2</v>
      </c>
      <c r="F13">
        <v>50000</v>
      </c>
    </row>
    <row r="14" spans="1:10" x14ac:dyDescent="0.3">
      <c r="A14" t="s">
        <v>15</v>
      </c>
      <c r="B14">
        <v>4532.6000000000004</v>
      </c>
      <c r="C14">
        <v>12.5661</v>
      </c>
      <c r="D14">
        <v>248.19489999999999</v>
      </c>
      <c r="E14">
        <v>0.1139</v>
      </c>
      <c r="F14">
        <v>5000</v>
      </c>
    </row>
    <row r="15" spans="1:10" x14ac:dyDescent="0.3">
      <c r="A15" t="s">
        <v>16</v>
      </c>
      <c r="B15">
        <v>4881.22</v>
      </c>
      <c r="C15">
        <v>13.251799999999999</v>
      </c>
      <c r="D15">
        <v>292.41739999999999</v>
      </c>
      <c r="E15">
        <v>0.12939999999999999</v>
      </c>
      <c r="F15">
        <v>5000</v>
      </c>
    </row>
    <row r="16" spans="1:10" x14ac:dyDescent="0.3">
      <c r="A16" t="s">
        <v>17</v>
      </c>
      <c r="B16">
        <v>175214.8</v>
      </c>
      <c r="C16">
        <v>14.220800000000001</v>
      </c>
      <c r="D16">
        <v>343.07600000000002</v>
      </c>
      <c r="E16">
        <v>0.1246</v>
      </c>
      <c r="F16">
        <v>200000</v>
      </c>
    </row>
    <row r="17" spans="1:6" x14ac:dyDescent="0.3">
      <c r="A17" t="s">
        <v>18</v>
      </c>
      <c r="B17">
        <v>9682.23</v>
      </c>
      <c r="C17">
        <v>11.8695</v>
      </c>
      <c r="D17">
        <v>207.92449999999999</v>
      </c>
      <c r="E17">
        <v>0.1149</v>
      </c>
      <c r="F17">
        <v>10000</v>
      </c>
    </row>
    <row r="18" spans="1:6" x14ac:dyDescent="0.3">
      <c r="A18" t="s">
        <v>19</v>
      </c>
      <c r="B18">
        <v>9626.66</v>
      </c>
      <c r="C18">
        <v>12.5276</v>
      </c>
      <c r="D18">
        <v>259.67099999999999</v>
      </c>
      <c r="E18">
        <v>0.1206</v>
      </c>
      <c r="F18">
        <v>10000</v>
      </c>
    </row>
    <row r="19" spans="1:6" x14ac:dyDescent="0.3">
      <c r="A19" t="s">
        <v>20</v>
      </c>
      <c r="B19">
        <v>17465.599999999999</v>
      </c>
      <c r="C19">
        <v>10.279199999999999</v>
      </c>
      <c r="D19">
        <v>140.61429999999999</v>
      </c>
      <c r="E19">
        <v>8.9800000000000005E-2</v>
      </c>
      <c r="F19">
        <v>20000</v>
      </c>
    </row>
    <row r="20" spans="1:6" x14ac:dyDescent="0.3">
      <c r="A20" t="s">
        <v>21</v>
      </c>
      <c r="B20">
        <v>5269.51</v>
      </c>
      <c r="C20">
        <v>12.411</v>
      </c>
      <c r="D20">
        <v>248.73609999999999</v>
      </c>
      <c r="E20">
        <v>0.1308</v>
      </c>
      <c r="F20">
        <v>5000</v>
      </c>
    </row>
    <row r="21" spans="1:6" x14ac:dyDescent="0.3">
      <c r="A21" t="s">
        <v>22</v>
      </c>
      <c r="B21">
        <v>203517.8</v>
      </c>
      <c r="C21">
        <v>1.3994</v>
      </c>
      <c r="D21">
        <v>2.6760999999999999</v>
      </c>
      <c r="E21">
        <v>1.4200000000000001E-2</v>
      </c>
      <c r="F21">
        <v>200000</v>
      </c>
    </row>
    <row r="22" spans="1:6" x14ac:dyDescent="0.3">
      <c r="A22" t="s">
        <v>23</v>
      </c>
      <c r="B22">
        <v>45269.95</v>
      </c>
      <c r="C22">
        <v>8.2342999999999993</v>
      </c>
      <c r="D22">
        <v>87.527699999999996</v>
      </c>
      <c r="E22">
        <v>7.46E-2</v>
      </c>
      <c r="F22">
        <v>50000</v>
      </c>
    </row>
    <row r="23" spans="1:6" x14ac:dyDescent="0.3">
      <c r="A23" t="s">
        <v>24</v>
      </c>
      <c r="B23">
        <v>14640.1</v>
      </c>
      <c r="C23">
        <v>13.210100000000001</v>
      </c>
      <c r="D23">
        <v>289.5883</v>
      </c>
      <c r="E23">
        <v>9.6699999999999994E-2</v>
      </c>
      <c r="F23">
        <v>20000</v>
      </c>
    </row>
    <row r="24" spans="1:6" x14ac:dyDescent="0.3">
      <c r="A24" t="s">
        <v>25</v>
      </c>
      <c r="B24">
        <v>4594.96</v>
      </c>
      <c r="C24">
        <v>8.5967000000000002</v>
      </c>
      <c r="D24">
        <v>97.131799999999998</v>
      </c>
      <c r="E24">
        <v>7.9000000000000001E-2</v>
      </c>
      <c r="F24">
        <v>5000</v>
      </c>
    </row>
    <row r="25" spans="1:6" x14ac:dyDescent="0.3">
      <c r="A25" t="s">
        <v>26</v>
      </c>
      <c r="B25">
        <v>18889.64</v>
      </c>
      <c r="C25">
        <v>8.9757999999999996</v>
      </c>
      <c r="D25">
        <v>109.34480000000001</v>
      </c>
      <c r="E25">
        <v>8.48E-2</v>
      </c>
      <c r="F25">
        <v>20000</v>
      </c>
    </row>
    <row r="26" spans="1:6" x14ac:dyDescent="0.3">
      <c r="A26" t="s">
        <v>27</v>
      </c>
      <c r="B26">
        <v>9594.8799999999992</v>
      </c>
      <c r="C26">
        <v>5.2796000000000003</v>
      </c>
      <c r="D26">
        <v>33.610199999999999</v>
      </c>
      <c r="E26">
        <v>5.0700000000000002E-2</v>
      </c>
      <c r="F26">
        <v>10000</v>
      </c>
    </row>
    <row r="27" spans="1:6" x14ac:dyDescent="0.3">
      <c r="A27" t="s">
        <v>28</v>
      </c>
      <c r="B27">
        <v>4987.2299999999996</v>
      </c>
      <c r="C27">
        <v>0.48220000000000002</v>
      </c>
      <c r="D27">
        <v>0.46500000000000002</v>
      </c>
      <c r="E27">
        <v>4.7999999999999996E-3</v>
      </c>
      <c r="F27">
        <v>5000</v>
      </c>
    </row>
    <row r="28" spans="1:6" x14ac:dyDescent="0.3">
      <c r="A28" t="s">
        <v>29</v>
      </c>
      <c r="B28">
        <v>104761.60000000001</v>
      </c>
      <c r="C28">
        <v>10.455299999999999</v>
      </c>
      <c r="D28">
        <v>161.9512</v>
      </c>
      <c r="E28">
        <v>0.1095</v>
      </c>
      <c r="F28">
        <v>100000</v>
      </c>
    </row>
    <row r="29" spans="1:6" x14ac:dyDescent="0.3">
      <c r="A29" t="s">
        <v>30</v>
      </c>
      <c r="B29">
        <v>84304.3</v>
      </c>
      <c r="C29">
        <v>10.1905</v>
      </c>
      <c r="D29">
        <v>138.86869999999999</v>
      </c>
      <c r="E29">
        <v>8.5900000000000004E-2</v>
      </c>
      <c r="F29">
        <v>100000</v>
      </c>
    </row>
    <row r="30" spans="1:6" x14ac:dyDescent="0.3">
      <c r="A30" t="s">
        <v>31</v>
      </c>
      <c r="B30">
        <v>162993.4</v>
      </c>
      <c r="C30">
        <v>11.3735</v>
      </c>
      <c r="D30">
        <v>189.5821</v>
      </c>
      <c r="E30">
        <v>9.2700000000000005E-2</v>
      </c>
      <c r="F30">
        <v>200000</v>
      </c>
    </row>
    <row r="31" spans="1:6" x14ac:dyDescent="0.3">
      <c r="A31" t="s">
        <v>32</v>
      </c>
      <c r="B31">
        <v>171848.4</v>
      </c>
      <c r="C31">
        <v>11.478300000000001</v>
      </c>
      <c r="D31">
        <v>189.87180000000001</v>
      </c>
      <c r="E31">
        <v>9.8599999999999993E-2</v>
      </c>
      <c r="F31">
        <v>200000</v>
      </c>
    </row>
    <row r="32" spans="1:6" x14ac:dyDescent="0.3">
      <c r="A32" t="s">
        <v>33</v>
      </c>
      <c r="B32">
        <v>16576.560000000001</v>
      </c>
      <c r="C32">
        <v>12.9633</v>
      </c>
      <c r="D32">
        <v>259.4126</v>
      </c>
      <c r="E32">
        <v>0.1074</v>
      </c>
      <c r="F32">
        <v>20000</v>
      </c>
    </row>
    <row r="33" spans="1:6" x14ac:dyDescent="0.3">
      <c r="A33" t="s">
        <v>34</v>
      </c>
      <c r="B33">
        <v>9974.4500000000007</v>
      </c>
      <c r="C33">
        <v>0.94699999999999995</v>
      </c>
      <c r="D33">
        <v>1.3611</v>
      </c>
      <c r="E33">
        <v>9.4000000000000004E-3</v>
      </c>
      <c r="F33">
        <v>10000</v>
      </c>
    </row>
    <row r="34" spans="1:6" x14ac:dyDescent="0.3">
      <c r="A34" t="s">
        <v>35</v>
      </c>
      <c r="B34">
        <v>20398.259999999998</v>
      </c>
      <c r="C34">
        <v>1.831</v>
      </c>
      <c r="D34">
        <v>4.3464</v>
      </c>
      <c r="E34">
        <v>1.8700000000000001E-2</v>
      </c>
      <c r="F34">
        <v>20000</v>
      </c>
    </row>
    <row r="35" spans="1:6" x14ac:dyDescent="0.3">
      <c r="A35" t="s">
        <v>36</v>
      </c>
      <c r="B35">
        <v>52470.95</v>
      </c>
      <c r="C35">
        <v>11.9244</v>
      </c>
      <c r="D35">
        <v>220.38990000000001</v>
      </c>
      <c r="E35">
        <v>0.12509999999999999</v>
      </c>
      <c r="F35">
        <v>50000</v>
      </c>
    </row>
    <row r="36" spans="1:6" x14ac:dyDescent="0.3">
      <c r="A36" t="s">
        <v>37</v>
      </c>
      <c r="B36">
        <v>509404</v>
      </c>
      <c r="C36">
        <v>6.6726000000000001</v>
      </c>
      <c r="D36">
        <v>57.127299999999998</v>
      </c>
      <c r="E36">
        <v>6.8000000000000005E-2</v>
      </c>
      <c r="F36">
        <v>500000</v>
      </c>
    </row>
    <row r="37" spans="1:6" x14ac:dyDescent="0.3">
      <c r="A37" t="s">
        <v>38</v>
      </c>
      <c r="B37">
        <v>413901.5</v>
      </c>
      <c r="C37">
        <v>11.141999999999999</v>
      </c>
      <c r="D37">
        <v>170.708</v>
      </c>
      <c r="E37">
        <v>9.2200000000000004E-2</v>
      </c>
      <c r="F37">
        <v>500000</v>
      </c>
    </row>
    <row r="38" spans="1:6" x14ac:dyDescent="0.3">
      <c r="A38" t="s">
        <v>39</v>
      </c>
      <c r="B38">
        <v>20790.439999999999</v>
      </c>
      <c r="C38">
        <v>12.2371</v>
      </c>
      <c r="D38">
        <v>227.74109999999999</v>
      </c>
      <c r="E38">
        <v>0.12720000000000001</v>
      </c>
      <c r="F38">
        <v>20000</v>
      </c>
    </row>
    <row r="39" spans="1:6" x14ac:dyDescent="0.3">
      <c r="A39" t="s">
        <v>40</v>
      </c>
      <c r="B39">
        <v>204665.2</v>
      </c>
      <c r="C39">
        <v>8.9033999999999995</v>
      </c>
      <c r="D39">
        <v>106.108</v>
      </c>
      <c r="E39">
        <v>9.11E-2</v>
      </c>
      <c r="F39">
        <v>200000</v>
      </c>
    </row>
    <row r="40" spans="1:6" x14ac:dyDescent="0.3">
      <c r="A40" t="s">
        <v>41</v>
      </c>
      <c r="B40">
        <v>9003.69</v>
      </c>
      <c r="C40">
        <v>6.5242000000000004</v>
      </c>
      <c r="D40">
        <v>52.220500000000001</v>
      </c>
      <c r="E40">
        <v>5.8700000000000002E-2</v>
      </c>
      <c r="F40">
        <v>10000</v>
      </c>
    </row>
    <row r="41" spans="1:6" x14ac:dyDescent="0.3">
      <c r="A41" t="s">
        <v>42</v>
      </c>
      <c r="B41">
        <v>4752.5200000000004</v>
      </c>
      <c r="C41">
        <v>2.6995</v>
      </c>
      <c r="D41">
        <v>8.8986000000000001</v>
      </c>
      <c r="E41">
        <v>2.5700000000000001E-2</v>
      </c>
      <c r="F41">
        <v>5000</v>
      </c>
    </row>
    <row r="42" spans="1:6" x14ac:dyDescent="0.3">
      <c r="A42" t="s">
        <v>43</v>
      </c>
      <c r="B42">
        <v>49707.25</v>
      </c>
      <c r="C42">
        <v>3.4521000000000002</v>
      </c>
      <c r="D42">
        <v>14.435600000000001</v>
      </c>
      <c r="E42">
        <v>3.4299999999999997E-2</v>
      </c>
      <c r="F42">
        <v>50000</v>
      </c>
    </row>
    <row r="43" spans="1:6" x14ac:dyDescent="0.3">
      <c r="A43" t="s">
        <v>44</v>
      </c>
      <c r="B43">
        <v>44364.6</v>
      </c>
      <c r="C43">
        <v>14.0503</v>
      </c>
      <c r="D43">
        <v>324.6857</v>
      </c>
      <c r="E43">
        <v>0.12470000000000001</v>
      </c>
      <c r="F43">
        <v>50000</v>
      </c>
    </row>
    <row r="44" spans="1:6" x14ac:dyDescent="0.3">
      <c r="A44" t="s">
        <v>45</v>
      </c>
      <c r="B44">
        <v>4961.16</v>
      </c>
      <c r="C44">
        <v>0.94910000000000005</v>
      </c>
      <c r="D44">
        <v>1.3656999999999999</v>
      </c>
      <c r="E44">
        <v>9.4000000000000004E-3</v>
      </c>
      <c r="F44">
        <v>5000</v>
      </c>
    </row>
    <row r="45" spans="1:6" x14ac:dyDescent="0.3">
      <c r="A45" t="s">
        <v>46</v>
      </c>
      <c r="B45">
        <v>4786.9399999999996</v>
      </c>
      <c r="C45">
        <v>10.038600000000001</v>
      </c>
      <c r="D45">
        <v>141.7319</v>
      </c>
      <c r="E45">
        <v>9.6100000000000005E-2</v>
      </c>
      <c r="F45">
        <v>5000</v>
      </c>
    </row>
    <row r="46" spans="1:6" x14ac:dyDescent="0.3">
      <c r="A46" t="s">
        <v>47</v>
      </c>
      <c r="B46">
        <v>46192.800000000003</v>
      </c>
      <c r="C46">
        <v>10.396599999999999</v>
      </c>
      <c r="D46">
        <v>151.56710000000001</v>
      </c>
      <c r="E46">
        <v>9.6000000000000002E-2</v>
      </c>
      <c r="F46">
        <v>50000</v>
      </c>
    </row>
    <row r="47" spans="1:6" x14ac:dyDescent="0.3">
      <c r="A47" t="s">
        <v>48</v>
      </c>
      <c r="B47">
        <v>4386.57</v>
      </c>
      <c r="C47">
        <v>8.8459000000000003</v>
      </c>
      <c r="D47">
        <v>103.2946</v>
      </c>
      <c r="E47">
        <v>7.7600000000000002E-2</v>
      </c>
      <c r="F47">
        <v>5000</v>
      </c>
    </row>
    <row r="48" spans="1:6" x14ac:dyDescent="0.3">
      <c r="A48" t="s">
        <v>49</v>
      </c>
      <c r="B48">
        <v>4224.6099999999997</v>
      </c>
      <c r="C48">
        <v>8.8465000000000007</v>
      </c>
      <c r="D48">
        <v>101.32850000000001</v>
      </c>
      <c r="E48">
        <v>7.4700000000000003E-2</v>
      </c>
      <c r="F48">
        <v>5000</v>
      </c>
    </row>
    <row r="49" spans="1:6" x14ac:dyDescent="0.3">
      <c r="A49" t="s">
        <v>50</v>
      </c>
      <c r="B49">
        <v>102011.6</v>
      </c>
      <c r="C49">
        <v>4.4356999999999998</v>
      </c>
      <c r="D49">
        <v>24.0883</v>
      </c>
      <c r="E49">
        <v>4.5199999999999997E-2</v>
      </c>
      <c r="F49">
        <v>100000</v>
      </c>
    </row>
    <row r="50" spans="1:6" x14ac:dyDescent="0.3">
      <c r="A50" t="s">
        <v>51</v>
      </c>
      <c r="B50">
        <v>16629.86</v>
      </c>
      <c r="C50">
        <v>11.4803</v>
      </c>
      <c r="D50">
        <v>196.34360000000001</v>
      </c>
      <c r="E50">
        <v>9.5500000000000002E-2</v>
      </c>
      <c r="F50">
        <v>20000</v>
      </c>
    </row>
    <row r="51" spans="1:6" x14ac:dyDescent="0.3">
      <c r="A51" t="s">
        <v>52</v>
      </c>
      <c r="B51">
        <v>9101.69</v>
      </c>
      <c r="C51">
        <v>6.4206000000000003</v>
      </c>
      <c r="D51">
        <v>51.020899999999997</v>
      </c>
      <c r="E51">
        <v>5.8400000000000001E-2</v>
      </c>
      <c r="F51">
        <v>10000</v>
      </c>
    </row>
    <row r="52" spans="1:6" x14ac:dyDescent="0.3">
      <c r="A52" t="s">
        <v>53</v>
      </c>
      <c r="B52">
        <v>99040.4</v>
      </c>
      <c r="C52">
        <v>0.95240000000000002</v>
      </c>
      <c r="D52">
        <v>1.3736999999999999</v>
      </c>
      <c r="E52">
        <v>9.4000000000000004E-3</v>
      </c>
      <c r="F52">
        <v>100000</v>
      </c>
    </row>
    <row r="53" spans="1:6" x14ac:dyDescent="0.3">
      <c r="A53" t="s">
        <v>54</v>
      </c>
      <c r="B53">
        <v>44700.65</v>
      </c>
      <c r="C53">
        <v>8.1658000000000008</v>
      </c>
      <c r="D53">
        <v>86.4589</v>
      </c>
      <c r="E53">
        <v>7.2999999999999995E-2</v>
      </c>
      <c r="F53">
        <v>50000</v>
      </c>
    </row>
    <row r="54" spans="1:6" x14ac:dyDescent="0.3">
      <c r="A54" t="s">
        <v>55</v>
      </c>
      <c r="B54">
        <v>9530.24</v>
      </c>
      <c r="C54">
        <v>2.7195999999999998</v>
      </c>
      <c r="D54">
        <v>9.0027000000000008</v>
      </c>
      <c r="E54">
        <v>2.5899999999999999E-2</v>
      </c>
      <c r="F54">
        <v>10000</v>
      </c>
    </row>
    <row r="55" spans="1:6" x14ac:dyDescent="0.3">
      <c r="A55" t="s">
        <v>56</v>
      </c>
      <c r="B55">
        <v>467603</v>
      </c>
      <c r="C55">
        <v>7.4596999999999998</v>
      </c>
      <c r="D55">
        <v>70.744200000000006</v>
      </c>
      <c r="E55">
        <v>6.9800000000000001E-2</v>
      </c>
      <c r="F55">
        <v>500000</v>
      </c>
    </row>
    <row r="56" spans="1:6" x14ac:dyDescent="0.3">
      <c r="A56" t="s">
        <v>57</v>
      </c>
      <c r="B56">
        <v>101481.2</v>
      </c>
      <c r="C56">
        <v>4.4629000000000003</v>
      </c>
      <c r="D56">
        <v>24.3035</v>
      </c>
      <c r="E56">
        <v>4.53E-2</v>
      </c>
      <c r="F56">
        <v>100000</v>
      </c>
    </row>
    <row r="57" spans="1:6" x14ac:dyDescent="0.3">
      <c r="A57" t="s">
        <v>58</v>
      </c>
      <c r="B57">
        <v>201347</v>
      </c>
      <c r="C57">
        <v>4.7979000000000003</v>
      </c>
      <c r="D57">
        <v>28.146699999999999</v>
      </c>
      <c r="E57">
        <v>4.8300000000000003E-2</v>
      </c>
      <c r="F57">
        <v>200000</v>
      </c>
    </row>
    <row r="58" spans="1:6" x14ac:dyDescent="0.3">
      <c r="A58" t="s">
        <v>59</v>
      </c>
      <c r="B58">
        <v>91465.2</v>
      </c>
      <c r="C58">
        <v>12.2967</v>
      </c>
      <c r="D58">
        <v>226.31960000000001</v>
      </c>
      <c r="E58">
        <v>0.1125</v>
      </c>
      <c r="F58">
        <v>100000</v>
      </c>
    </row>
    <row r="59" spans="1:6" x14ac:dyDescent="0.3">
      <c r="A59" t="s">
        <v>60</v>
      </c>
      <c r="B59">
        <v>5261.82</v>
      </c>
      <c r="C59">
        <v>12.071999999999999</v>
      </c>
      <c r="D59">
        <v>240.7139</v>
      </c>
      <c r="E59">
        <v>0.127</v>
      </c>
      <c r="F59">
        <v>5000</v>
      </c>
    </row>
    <row r="60" spans="1:6" x14ac:dyDescent="0.3">
      <c r="A60" t="s">
        <v>61</v>
      </c>
      <c r="B60">
        <v>47019.3</v>
      </c>
      <c r="C60">
        <v>4.9263000000000003</v>
      </c>
      <c r="D60">
        <v>29.2043</v>
      </c>
      <c r="E60">
        <v>4.6300000000000001E-2</v>
      </c>
      <c r="F60">
        <v>50000</v>
      </c>
    </row>
    <row r="61" spans="1:6" x14ac:dyDescent="0.3">
      <c r="A61" t="s">
        <v>62</v>
      </c>
      <c r="B61">
        <v>89627.1</v>
      </c>
      <c r="C61">
        <v>9.1915999999999993</v>
      </c>
      <c r="D61">
        <v>113.3344</v>
      </c>
      <c r="E61">
        <v>8.2400000000000001E-2</v>
      </c>
      <c r="F61">
        <v>100000</v>
      </c>
    </row>
    <row r="62" spans="1:6" x14ac:dyDescent="0.3">
      <c r="A62" t="s">
        <v>63</v>
      </c>
      <c r="B62">
        <v>105458.8</v>
      </c>
      <c r="C62">
        <v>11.001099999999999</v>
      </c>
      <c r="D62">
        <v>184.30549999999999</v>
      </c>
      <c r="E62">
        <v>0.11600000000000001</v>
      </c>
      <c r="F62">
        <v>100000</v>
      </c>
    </row>
    <row r="63" spans="1:6" x14ac:dyDescent="0.3">
      <c r="A63" t="s">
        <v>64</v>
      </c>
      <c r="B63">
        <v>490510.5</v>
      </c>
      <c r="C63">
        <v>1.8552999999999999</v>
      </c>
      <c r="D63">
        <v>4.4238999999999997</v>
      </c>
      <c r="E63">
        <v>1.8200000000000001E-2</v>
      </c>
      <c r="F63">
        <v>500000</v>
      </c>
    </row>
    <row r="64" spans="1:6" x14ac:dyDescent="0.3">
      <c r="A64" t="s">
        <v>65</v>
      </c>
      <c r="B64">
        <v>485562.5</v>
      </c>
      <c r="C64">
        <v>1.8586</v>
      </c>
      <c r="D64">
        <v>4.4321000000000002</v>
      </c>
      <c r="E64">
        <v>1.7999999999999999E-2</v>
      </c>
      <c r="F64">
        <v>500000</v>
      </c>
    </row>
    <row r="65" spans="1:6" x14ac:dyDescent="0.3">
      <c r="A65" t="s">
        <v>66</v>
      </c>
      <c r="B65">
        <v>4571.8900000000003</v>
      </c>
      <c r="C65">
        <v>10.946300000000001</v>
      </c>
      <c r="D65">
        <v>180.10980000000001</v>
      </c>
      <c r="E65">
        <v>0.10009999999999999</v>
      </c>
      <c r="F65">
        <v>5000</v>
      </c>
    </row>
    <row r="66" spans="1:6" x14ac:dyDescent="0.3">
      <c r="A66" t="s">
        <v>67</v>
      </c>
      <c r="B66">
        <v>187963.2</v>
      </c>
      <c r="C66">
        <v>7.0819000000000001</v>
      </c>
      <c r="D66">
        <v>62.318199999999997</v>
      </c>
      <c r="E66">
        <v>6.6600000000000006E-2</v>
      </c>
      <c r="F66">
        <v>200000</v>
      </c>
    </row>
    <row r="67" spans="1:6" x14ac:dyDescent="0.3">
      <c r="A67" t="s">
        <v>68</v>
      </c>
      <c r="B67">
        <v>46297.95</v>
      </c>
      <c r="C67">
        <v>6.6852</v>
      </c>
      <c r="D67">
        <v>55.7209</v>
      </c>
      <c r="E67">
        <v>6.1899999999999997E-2</v>
      </c>
      <c r="F67">
        <v>50000</v>
      </c>
    </row>
    <row r="68" spans="1:6" x14ac:dyDescent="0.3">
      <c r="A68" t="s">
        <v>69</v>
      </c>
      <c r="B68">
        <v>100328.2</v>
      </c>
      <c r="C68">
        <v>8.1959999999999997</v>
      </c>
      <c r="D68">
        <v>88.713899999999995</v>
      </c>
      <c r="E68">
        <v>8.2199999999999995E-2</v>
      </c>
      <c r="F68">
        <v>100000</v>
      </c>
    </row>
    <row r="69" spans="1:6" x14ac:dyDescent="0.3">
      <c r="A69" t="s">
        <v>70</v>
      </c>
      <c r="B69">
        <v>436602.5</v>
      </c>
      <c r="C69">
        <v>13.084099999999999</v>
      </c>
      <c r="D69">
        <v>264.82119999999998</v>
      </c>
      <c r="E69">
        <v>0.1143</v>
      </c>
      <c r="F69">
        <v>500000</v>
      </c>
    </row>
    <row r="70" spans="1:6" x14ac:dyDescent="0.3">
      <c r="A70" t="s">
        <v>71</v>
      </c>
      <c r="B70">
        <v>9254.16</v>
      </c>
      <c r="C70">
        <v>5.6551999999999998</v>
      </c>
      <c r="D70">
        <v>38.493299999999998</v>
      </c>
      <c r="E70">
        <v>5.2299999999999999E-2</v>
      </c>
      <c r="F70">
        <v>10000</v>
      </c>
    </row>
    <row r="71" spans="1:6" x14ac:dyDescent="0.3">
      <c r="A71" t="s">
        <v>72</v>
      </c>
      <c r="B71">
        <v>4628.6099999999997</v>
      </c>
      <c r="C71">
        <v>7.2796000000000003</v>
      </c>
      <c r="D71">
        <v>66.579499999999996</v>
      </c>
      <c r="E71">
        <v>6.7400000000000002E-2</v>
      </c>
      <c r="F71">
        <v>5000</v>
      </c>
    </row>
    <row r="72" spans="1:6" x14ac:dyDescent="0.3">
      <c r="A72" t="s">
        <v>73</v>
      </c>
      <c r="B72">
        <v>204820.8</v>
      </c>
      <c r="C72">
        <v>4.5054999999999996</v>
      </c>
      <c r="D72">
        <v>24.658200000000001</v>
      </c>
      <c r="E72">
        <v>4.6100000000000002E-2</v>
      </c>
      <c r="F72">
        <v>200000</v>
      </c>
    </row>
    <row r="73" spans="1:6" x14ac:dyDescent="0.3">
      <c r="A73" t="s">
        <v>74</v>
      </c>
      <c r="B73">
        <v>9126.34</v>
      </c>
      <c r="C73">
        <v>6.1992000000000003</v>
      </c>
      <c r="D73">
        <v>47.020400000000002</v>
      </c>
      <c r="E73">
        <v>5.6599999999999998E-2</v>
      </c>
      <c r="F73">
        <v>10000</v>
      </c>
    </row>
    <row r="74" spans="1:6" x14ac:dyDescent="0.3">
      <c r="A74" t="s">
        <v>75</v>
      </c>
      <c r="B74">
        <v>18682.34</v>
      </c>
      <c r="C74">
        <v>12.5854</v>
      </c>
      <c r="D74">
        <v>260.41579999999999</v>
      </c>
      <c r="E74">
        <v>0.1176</v>
      </c>
      <c r="F74">
        <v>20000</v>
      </c>
    </row>
    <row r="75" spans="1:6" x14ac:dyDescent="0.3">
      <c r="A75" t="s">
        <v>76</v>
      </c>
      <c r="B75">
        <v>9328.1299999999992</v>
      </c>
      <c r="C75">
        <v>8.7050000000000001</v>
      </c>
      <c r="D75">
        <v>100.8387</v>
      </c>
      <c r="E75">
        <v>8.1199999999999994E-2</v>
      </c>
      <c r="F75">
        <v>10000</v>
      </c>
    </row>
    <row r="76" spans="1:6" x14ac:dyDescent="0.3">
      <c r="A76" t="s">
        <v>77</v>
      </c>
      <c r="B76">
        <v>9617.25</v>
      </c>
      <c r="C76">
        <v>2.2848000000000002</v>
      </c>
      <c r="D76">
        <v>6.4946999999999999</v>
      </c>
      <c r="E76">
        <v>2.1999999999999999E-2</v>
      </c>
      <c r="F76">
        <v>10000</v>
      </c>
    </row>
    <row r="77" spans="1:6" x14ac:dyDescent="0.3">
      <c r="A77" t="s">
        <v>78</v>
      </c>
      <c r="B77">
        <v>18917.12</v>
      </c>
      <c r="C77">
        <v>6.4305000000000003</v>
      </c>
      <c r="D77">
        <v>51.168500000000002</v>
      </c>
      <c r="E77">
        <v>6.08E-2</v>
      </c>
      <c r="F77">
        <v>20000</v>
      </c>
    </row>
    <row r="78" spans="1:6" x14ac:dyDescent="0.3">
      <c r="A78" t="s">
        <v>79</v>
      </c>
      <c r="B78">
        <v>197439.4</v>
      </c>
      <c r="C78">
        <v>1.8372999999999999</v>
      </c>
      <c r="D78">
        <v>4.3574999999999999</v>
      </c>
      <c r="E78">
        <v>1.8100000000000002E-2</v>
      </c>
      <c r="F78">
        <v>200000</v>
      </c>
    </row>
    <row r="79" spans="1:6" x14ac:dyDescent="0.3">
      <c r="A79" t="s">
        <v>80</v>
      </c>
      <c r="B79">
        <v>47392.15</v>
      </c>
      <c r="C79">
        <v>5.4896000000000003</v>
      </c>
      <c r="D79">
        <v>36.872799999999998</v>
      </c>
      <c r="E79">
        <v>5.1999999999999998E-2</v>
      </c>
      <c r="F79">
        <v>50000</v>
      </c>
    </row>
    <row r="80" spans="1:6" x14ac:dyDescent="0.3">
      <c r="A80" t="s">
        <v>81</v>
      </c>
      <c r="B80">
        <v>16453.759999999998</v>
      </c>
      <c r="C80">
        <v>12.2225</v>
      </c>
      <c r="D80">
        <v>240.0864</v>
      </c>
      <c r="E80">
        <v>0.10059999999999999</v>
      </c>
      <c r="F80">
        <v>20000</v>
      </c>
    </row>
    <row r="81" spans="1:6" x14ac:dyDescent="0.3">
      <c r="A81" t="s">
        <v>82</v>
      </c>
      <c r="B81">
        <v>9966.2800000000007</v>
      </c>
      <c r="C81">
        <v>1.4065000000000001</v>
      </c>
      <c r="D81">
        <v>2.6930999999999998</v>
      </c>
      <c r="E81">
        <v>1.4E-2</v>
      </c>
      <c r="F81">
        <v>10000</v>
      </c>
    </row>
    <row r="82" spans="1:6" x14ac:dyDescent="0.3">
      <c r="A82" t="s">
        <v>83</v>
      </c>
      <c r="B82">
        <v>10426.120000000001</v>
      </c>
      <c r="C82">
        <v>6.8834999999999997</v>
      </c>
      <c r="D82">
        <v>61.348599999999998</v>
      </c>
      <c r="E82">
        <v>7.1800000000000003E-2</v>
      </c>
      <c r="F82">
        <v>10000</v>
      </c>
    </row>
    <row r="83" spans="1:6" x14ac:dyDescent="0.3">
      <c r="A83" t="s">
        <v>84</v>
      </c>
      <c r="B83">
        <v>9702.35</v>
      </c>
      <c r="C83">
        <v>3.0419999999999998</v>
      </c>
      <c r="D83">
        <v>11.3024</v>
      </c>
      <c r="E83">
        <v>2.9499999999999998E-2</v>
      </c>
      <c r="F83">
        <v>10000</v>
      </c>
    </row>
    <row r="84" spans="1:6" x14ac:dyDescent="0.3">
      <c r="A84" t="s">
        <v>85</v>
      </c>
      <c r="B84">
        <v>4933.1099999999997</v>
      </c>
      <c r="C84">
        <v>1.3995</v>
      </c>
      <c r="D84">
        <v>2.6678000000000002</v>
      </c>
      <c r="E84">
        <v>1.38E-2</v>
      </c>
      <c r="F84">
        <v>5000</v>
      </c>
    </row>
    <row r="85" spans="1:6" x14ac:dyDescent="0.3">
      <c r="A85" t="s">
        <v>86</v>
      </c>
      <c r="B85">
        <v>20167.46</v>
      </c>
      <c r="C85">
        <v>1.3917999999999999</v>
      </c>
      <c r="D85">
        <v>2.6494</v>
      </c>
      <c r="E85">
        <v>1.4E-2</v>
      </c>
      <c r="F85">
        <v>20000</v>
      </c>
    </row>
    <row r="86" spans="1:6" x14ac:dyDescent="0.3">
      <c r="A86" t="s">
        <v>87</v>
      </c>
      <c r="B86">
        <v>5162.1400000000003</v>
      </c>
      <c r="C86">
        <v>4.1058000000000003</v>
      </c>
      <c r="D86">
        <v>20.591100000000001</v>
      </c>
      <c r="E86">
        <v>4.24E-2</v>
      </c>
      <c r="F86">
        <v>5000</v>
      </c>
    </row>
    <row r="87" spans="1:6" x14ac:dyDescent="0.3">
      <c r="A87" t="s">
        <v>88</v>
      </c>
      <c r="B87">
        <v>98591.4</v>
      </c>
      <c r="C87">
        <v>3.4548000000000001</v>
      </c>
      <c r="D87">
        <v>14.446099999999999</v>
      </c>
      <c r="E87">
        <v>3.4099999999999998E-2</v>
      </c>
      <c r="F87">
        <v>100000</v>
      </c>
    </row>
    <row r="88" spans="1:6" x14ac:dyDescent="0.3">
      <c r="A88" t="s">
        <v>89</v>
      </c>
      <c r="B88">
        <v>95230.2</v>
      </c>
      <c r="C88">
        <v>4.1558999999999999</v>
      </c>
      <c r="D88">
        <v>20.8995</v>
      </c>
      <c r="E88">
        <v>3.9600000000000003E-2</v>
      </c>
      <c r="F88">
        <v>100000</v>
      </c>
    </row>
    <row r="89" spans="1:6" x14ac:dyDescent="0.3">
      <c r="A89" t="s">
        <v>90</v>
      </c>
      <c r="B89">
        <v>20407.599999999999</v>
      </c>
      <c r="C89">
        <v>5.0559000000000003</v>
      </c>
      <c r="D89">
        <v>31.579899999999999</v>
      </c>
      <c r="E89">
        <v>5.16E-2</v>
      </c>
      <c r="F89">
        <v>20000</v>
      </c>
    </row>
    <row r="90" spans="1:6" x14ac:dyDescent="0.3">
      <c r="A90" t="s">
        <v>91</v>
      </c>
      <c r="B90">
        <v>97509.6</v>
      </c>
      <c r="C90">
        <v>2.6469</v>
      </c>
      <c r="D90">
        <v>8.6481999999999992</v>
      </c>
      <c r="E90">
        <v>2.58E-2</v>
      </c>
      <c r="F90">
        <v>100000</v>
      </c>
    </row>
    <row r="91" spans="1:6" x14ac:dyDescent="0.3">
      <c r="A91" t="s">
        <v>92</v>
      </c>
      <c r="B91">
        <v>495292.5</v>
      </c>
      <c r="C91">
        <v>2.2494999999999998</v>
      </c>
      <c r="D91">
        <v>6.3532000000000002</v>
      </c>
      <c r="E91">
        <v>2.23E-2</v>
      </c>
      <c r="F91">
        <v>500000</v>
      </c>
    </row>
    <row r="92" spans="1:6" x14ac:dyDescent="0.3">
      <c r="A92" t="s">
        <v>93</v>
      </c>
      <c r="B92">
        <v>49771.45</v>
      </c>
      <c r="C92">
        <v>3.0529999999999999</v>
      </c>
      <c r="D92">
        <v>11.382199999999999</v>
      </c>
      <c r="E92">
        <v>3.04E-2</v>
      </c>
      <c r="F92">
        <v>50000</v>
      </c>
    </row>
    <row r="93" spans="1:6" x14ac:dyDescent="0.3">
      <c r="A93" t="s">
        <v>94</v>
      </c>
      <c r="B93">
        <v>519069.5</v>
      </c>
      <c r="C93">
        <v>6.4862000000000002</v>
      </c>
      <c r="D93">
        <v>53.365400000000001</v>
      </c>
      <c r="E93">
        <v>6.7299999999999999E-2</v>
      </c>
      <c r="F93">
        <v>500000</v>
      </c>
    </row>
    <row r="94" spans="1:6" x14ac:dyDescent="0.3">
      <c r="A94" t="s">
        <v>95</v>
      </c>
      <c r="B94">
        <v>199393</v>
      </c>
      <c r="C94">
        <v>3.7988</v>
      </c>
      <c r="D94">
        <v>17.4969</v>
      </c>
      <c r="E94">
        <v>3.7900000000000003E-2</v>
      </c>
      <c r="F94">
        <v>200000</v>
      </c>
    </row>
    <row r="95" spans="1:6" x14ac:dyDescent="0.3">
      <c r="A95" t="s">
        <v>96</v>
      </c>
      <c r="B95">
        <v>202066.6</v>
      </c>
      <c r="C95">
        <v>5.7179000000000002</v>
      </c>
      <c r="D95">
        <v>40.535200000000003</v>
      </c>
      <c r="E95">
        <v>5.7799999999999997E-2</v>
      </c>
      <c r="F95">
        <v>200000</v>
      </c>
    </row>
    <row r="96" spans="1:6" x14ac:dyDescent="0.3">
      <c r="A96" t="s">
        <v>97</v>
      </c>
      <c r="B96">
        <v>5150.07</v>
      </c>
      <c r="C96">
        <v>7.8231999999999999</v>
      </c>
      <c r="D96">
        <v>82.736900000000006</v>
      </c>
      <c r="E96">
        <v>8.0600000000000005E-2</v>
      </c>
      <c r="F96">
        <v>5000</v>
      </c>
    </row>
    <row r="97" spans="1:6" x14ac:dyDescent="0.3">
      <c r="A97" t="s">
        <v>98</v>
      </c>
      <c r="B97">
        <v>195662.6</v>
      </c>
      <c r="C97">
        <v>2.6671</v>
      </c>
      <c r="D97">
        <v>8.7523</v>
      </c>
      <c r="E97">
        <v>2.6100000000000002E-2</v>
      </c>
      <c r="F97">
        <v>200000</v>
      </c>
    </row>
    <row r="98" spans="1:6" x14ac:dyDescent="0.3">
      <c r="A98" t="s">
        <v>99</v>
      </c>
      <c r="B98">
        <v>20090.14</v>
      </c>
      <c r="C98">
        <v>2.9990999999999999</v>
      </c>
      <c r="D98">
        <v>11.082700000000001</v>
      </c>
      <c r="E98">
        <v>3.0099999999999998E-2</v>
      </c>
      <c r="F98">
        <v>20000</v>
      </c>
    </row>
    <row r="99" spans="1:6" x14ac:dyDescent="0.3">
      <c r="A99" t="s">
        <v>100</v>
      </c>
      <c r="B99">
        <v>100391</v>
      </c>
      <c r="C99">
        <v>1.3945000000000001</v>
      </c>
      <c r="D99">
        <v>2.6568999999999998</v>
      </c>
      <c r="E99">
        <v>1.4E-2</v>
      </c>
      <c r="F99">
        <v>100000</v>
      </c>
    </row>
    <row r="100" spans="1:6" x14ac:dyDescent="0.3">
      <c r="A100" t="s">
        <v>101</v>
      </c>
      <c r="B100">
        <v>198734.8</v>
      </c>
      <c r="C100">
        <v>3.0194999999999999</v>
      </c>
      <c r="D100">
        <v>11.190899999999999</v>
      </c>
      <c r="E100">
        <v>0.03</v>
      </c>
      <c r="F100">
        <v>200000</v>
      </c>
    </row>
    <row r="101" spans="1:6" x14ac:dyDescent="0.3">
      <c r="A101" t="s">
        <v>102</v>
      </c>
      <c r="B101">
        <v>20059.86</v>
      </c>
      <c r="C101">
        <v>0.48280000000000001</v>
      </c>
      <c r="D101">
        <v>0.4662</v>
      </c>
      <c r="E101">
        <v>4.7999999999999996E-3</v>
      </c>
      <c r="F101">
        <v>20000</v>
      </c>
    </row>
    <row r="102" spans="1:6" x14ac:dyDescent="0.3">
      <c r="A102" t="s">
        <v>103</v>
      </c>
      <c r="B102">
        <v>198641.4</v>
      </c>
      <c r="C102">
        <v>0.94499999999999995</v>
      </c>
      <c r="D102">
        <v>1.3554999999999999</v>
      </c>
      <c r="E102">
        <v>9.4000000000000004E-3</v>
      </c>
      <c r="F102">
        <v>200000</v>
      </c>
    </row>
    <row r="103" spans="1:6" x14ac:dyDescent="0.3">
      <c r="A103" t="s">
        <v>104</v>
      </c>
      <c r="B103">
        <v>500000</v>
      </c>
      <c r="C103">
        <v>1.8259000000000001</v>
      </c>
      <c r="D103">
        <v>4.3190999999999997</v>
      </c>
      <c r="E103">
        <v>1.83E-2</v>
      </c>
      <c r="F103">
        <v>500000</v>
      </c>
    </row>
    <row r="104" spans="1:6" x14ac:dyDescent="0.3">
      <c r="A104" t="s">
        <v>105</v>
      </c>
      <c r="B104">
        <v>101190.8</v>
      </c>
      <c r="C104">
        <v>3.0392999999999999</v>
      </c>
      <c r="D104">
        <v>11.315200000000001</v>
      </c>
      <c r="E104">
        <v>3.0800000000000001E-2</v>
      </c>
      <c r="F104">
        <v>100000</v>
      </c>
    </row>
    <row r="105" spans="1:6" x14ac:dyDescent="0.3">
      <c r="A105" t="s">
        <v>106</v>
      </c>
      <c r="B105">
        <v>20014.66</v>
      </c>
      <c r="C105">
        <v>1.8331</v>
      </c>
      <c r="D105">
        <v>4.3465999999999996</v>
      </c>
      <c r="E105">
        <v>1.83E-2</v>
      </c>
      <c r="F105">
        <v>20000</v>
      </c>
    </row>
    <row r="106" spans="1:6" x14ac:dyDescent="0.3">
      <c r="A106" t="s">
        <v>107</v>
      </c>
      <c r="B106">
        <v>50775.7</v>
      </c>
      <c r="C106">
        <v>4.4063999999999997</v>
      </c>
      <c r="D106">
        <v>23.847200000000001</v>
      </c>
      <c r="E106">
        <v>4.4699999999999997E-2</v>
      </c>
      <c r="F106">
        <v>50000</v>
      </c>
    </row>
    <row r="107" spans="1:6" x14ac:dyDescent="0.3">
      <c r="A107" t="s">
        <v>108</v>
      </c>
      <c r="B107">
        <v>497906</v>
      </c>
      <c r="C107">
        <v>1.8236000000000001</v>
      </c>
      <c r="D107">
        <v>4.3087999999999997</v>
      </c>
      <c r="E107">
        <v>1.8200000000000001E-2</v>
      </c>
      <c r="F107">
        <v>500000</v>
      </c>
    </row>
    <row r="108" spans="1:6" x14ac:dyDescent="0.3">
      <c r="A108" t="s">
        <v>109</v>
      </c>
      <c r="B108">
        <v>494001.5</v>
      </c>
      <c r="C108">
        <v>4.4645000000000001</v>
      </c>
      <c r="D108">
        <v>24.2943</v>
      </c>
      <c r="E108">
        <v>4.41E-2</v>
      </c>
      <c r="F108">
        <v>500000</v>
      </c>
    </row>
    <row r="109" spans="1:6" x14ac:dyDescent="0.3">
      <c r="A109" t="s">
        <v>110</v>
      </c>
      <c r="B109">
        <v>198472.8</v>
      </c>
      <c r="C109">
        <v>2.6408</v>
      </c>
      <c r="D109">
        <v>8.6278000000000006</v>
      </c>
      <c r="E109">
        <v>2.6200000000000001E-2</v>
      </c>
      <c r="F109">
        <v>200000</v>
      </c>
    </row>
    <row r="110" spans="1:6" x14ac:dyDescent="0.3">
      <c r="A110" t="s">
        <v>111</v>
      </c>
      <c r="B110">
        <v>19909.34</v>
      </c>
      <c r="C110">
        <v>0.94540000000000002</v>
      </c>
      <c r="D110">
        <v>1.3567</v>
      </c>
      <c r="E110">
        <v>9.4000000000000004E-3</v>
      </c>
      <c r="F110">
        <v>20000</v>
      </c>
    </row>
    <row r="111" spans="1:6" x14ac:dyDescent="0.3">
      <c r="A111" t="s">
        <v>112</v>
      </c>
      <c r="B111">
        <v>19209.599999999999</v>
      </c>
      <c r="C111">
        <v>5.7331000000000003</v>
      </c>
      <c r="D111">
        <v>40.652799999999999</v>
      </c>
      <c r="E111">
        <v>5.5100000000000003E-2</v>
      </c>
      <c r="F111">
        <v>20000</v>
      </c>
    </row>
    <row r="112" spans="1:6" x14ac:dyDescent="0.3">
      <c r="A112" t="s">
        <v>113</v>
      </c>
      <c r="B112">
        <v>199326</v>
      </c>
      <c r="C112">
        <v>0.48139999999999999</v>
      </c>
      <c r="D112">
        <v>0.46360000000000001</v>
      </c>
      <c r="E112">
        <v>4.7999999999999996E-3</v>
      </c>
      <c r="F112">
        <v>200000</v>
      </c>
    </row>
    <row r="113" spans="1:6" x14ac:dyDescent="0.3">
      <c r="A113" t="s">
        <v>114</v>
      </c>
      <c r="B113">
        <v>203477.4</v>
      </c>
      <c r="C113">
        <v>1.3835</v>
      </c>
      <c r="D113">
        <v>2.6251000000000002</v>
      </c>
      <c r="E113">
        <v>1.41E-2</v>
      </c>
      <c r="F113">
        <v>200000</v>
      </c>
    </row>
    <row r="114" spans="1:6" x14ac:dyDescent="0.3">
      <c r="A114" t="s">
        <v>115</v>
      </c>
      <c r="B114">
        <v>4899.79</v>
      </c>
      <c r="C114">
        <v>2.6227999999999998</v>
      </c>
      <c r="D114">
        <v>8.5303000000000004</v>
      </c>
      <c r="E114">
        <v>2.5700000000000001E-2</v>
      </c>
      <c r="F114">
        <v>5000</v>
      </c>
    </row>
    <row r="115" spans="1:6" x14ac:dyDescent="0.3">
      <c r="A115" t="s">
        <v>116</v>
      </c>
      <c r="B115">
        <v>49410.9</v>
      </c>
      <c r="C115">
        <v>3.3818999999999999</v>
      </c>
      <c r="D115">
        <v>13.9893</v>
      </c>
      <c r="E115">
        <v>3.3399999999999999E-2</v>
      </c>
      <c r="F115">
        <v>50000</v>
      </c>
    </row>
    <row r="116" spans="1:6" x14ac:dyDescent="0.3">
      <c r="A116" t="s">
        <v>117</v>
      </c>
      <c r="B116">
        <v>10177.75</v>
      </c>
      <c r="C116">
        <v>2.9923999999999999</v>
      </c>
      <c r="D116">
        <v>11.053100000000001</v>
      </c>
      <c r="E116">
        <v>3.0499999999999999E-2</v>
      </c>
      <c r="F116">
        <v>10000</v>
      </c>
    </row>
    <row r="117" spans="1:6" x14ac:dyDescent="0.3">
      <c r="A117" t="s">
        <v>118</v>
      </c>
      <c r="B117">
        <v>98099</v>
      </c>
      <c r="C117">
        <v>1.8228</v>
      </c>
      <c r="D117">
        <v>4.2995000000000001</v>
      </c>
      <c r="E117">
        <v>1.7899999999999999E-2</v>
      </c>
      <c r="F117">
        <v>100000</v>
      </c>
    </row>
    <row r="118" spans="1:6" x14ac:dyDescent="0.3">
      <c r="A118" t="s">
        <v>119</v>
      </c>
      <c r="B118">
        <v>19948.16</v>
      </c>
      <c r="C118">
        <v>0.47989999999999999</v>
      </c>
      <c r="D118">
        <v>0.46060000000000001</v>
      </c>
      <c r="E118">
        <v>4.7999999999999996E-3</v>
      </c>
      <c r="F118">
        <v>20000</v>
      </c>
    </row>
    <row r="119" spans="1:6" x14ac:dyDescent="0.3">
      <c r="A119" t="s">
        <v>120</v>
      </c>
      <c r="B119">
        <v>48440.1</v>
      </c>
      <c r="C119">
        <v>3.3597999999999999</v>
      </c>
      <c r="D119">
        <v>13.837</v>
      </c>
      <c r="E119">
        <v>3.2500000000000001E-2</v>
      </c>
      <c r="F119">
        <v>50000</v>
      </c>
    </row>
    <row r="120" spans="1:6" x14ac:dyDescent="0.3">
      <c r="A120" t="s">
        <v>121</v>
      </c>
      <c r="B120">
        <v>197795</v>
      </c>
      <c r="C120">
        <v>4.4288999999999996</v>
      </c>
      <c r="D120">
        <v>24.007400000000001</v>
      </c>
      <c r="E120">
        <v>4.3799999999999999E-2</v>
      </c>
      <c r="F120">
        <v>200000</v>
      </c>
    </row>
    <row r="121" spans="1:6" x14ac:dyDescent="0.3">
      <c r="A121" t="s">
        <v>122</v>
      </c>
      <c r="B121">
        <v>9872.4699999999993</v>
      </c>
      <c r="C121">
        <v>0.94069999999999998</v>
      </c>
      <c r="D121">
        <v>1.3432999999999999</v>
      </c>
      <c r="E121">
        <v>9.2999999999999992E-3</v>
      </c>
      <c r="F121">
        <v>10000</v>
      </c>
    </row>
    <row r="122" spans="1:6" x14ac:dyDescent="0.3">
      <c r="A122" t="s">
        <v>123</v>
      </c>
      <c r="B122">
        <v>20417.52</v>
      </c>
      <c r="C122">
        <v>3.0015999999999998</v>
      </c>
      <c r="D122">
        <v>11.1073</v>
      </c>
      <c r="E122">
        <v>3.0599999999999999E-2</v>
      </c>
      <c r="F122">
        <v>20000</v>
      </c>
    </row>
    <row r="123" spans="1:6" x14ac:dyDescent="0.3">
      <c r="A123" t="s">
        <v>124</v>
      </c>
      <c r="B123">
        <v>103456.7</v>
      </c>
      <c r="C123">
        <v>4.3193999999999999</v>
      </c>
      <c r="D123">
        <v>23.160299999999999</v>
      </c>
      <c r="E123">
        <v>4.4699999999999997E-2</v>
      </c>
      <c r="F123">
        <v>100000</v>
      </c>
    </row>
    <row r="124" spans="1:6" x14ac:dyDescent="0.3">
      <c r="A124" t="s">
        <v>125</v>
      </c>
      <c r="B124">
        <v>19562.88</v>
      </c>
      <c r="C124">
        <v>5.6509999999999998</v>
      </c>
      <c r="D124">
        <v>39.810400000000001</v>
      </c>
      <c r="E124">
        <v>5.5300000000000002E-2</v>
      </c>
      <c r="F124">
        <v>20000</v>
      </c>
    </row>
    <row r="125" spans="1:6" x14ac:dyDescent="0.3">
      <c r="A125" t="s">
        <v>126</v>
      </c>
      <c r="B125">
        <v>50186</v>
      </c>
      <c r="C125">
        <v>3.7149000000000001</v>
      </c>
      <c r="D125">
        <v>16.924299999999999</v>
      </c>
      <c r="E125">
        <v>3.73E-2</v>
      </c>
      <c r="F125">
        <v>50000</v>
      </c>
    </row>
    <row r="126" spans="1:6" x14ac:dyDescent="0.3">
      <c r="A126" t="s">
        <v>127</v>
      </c>
      <c r="B126">
        <v>99518.2</v>
      </c>
      <c r="C126">
        <v>3.0165999999999999</v>
      </c>
      <c r="D126">
        <v>11.1755</v>
      </c>
      <c r="E126">
        <v>0.03</v>
      </c>
      <c r="F126">
        <v>100000</v>
      </c>
    </row>
    <row r="127" spans="1:6" x14ac:dyDescent="0.3">
      <c r="A127" t="s">
        <v>128</v>
      </c>
      <c r="B127">
        <v>5009.3500000000004</v>
      </c>
      <c r="C127">
        <v>0.47939999999999999</v>
      </c>
      <c r="D127">
        <v>0.4597</v>
      </c>
      <c r="E127">
        <v>4.7999999999999996E-3</v>
      </c>
      <c r="F127">
        <v>5000</v>
      </c>
    </row>
    <row r="128" spans="1:6" x14ac:dyDescent="0.3">
      <c r="A128" t="s">
        <v>129</v>
      </c>
      <c r="B128">
        <v>51851.35</v>
      </c>
      <c r="C128">
        <v>5.7102000000000004</v>
      </c>
      <c r="D128">
        <v>41.7331</v>
      </c>
      <c r="E128">
        <v>5.9200000000000003E-2</v>
      </c>
      <c r="F128">
        <v>50000</v>
      </c>
    </row>
    <row r="129" spans="1:6" x14ac:dyDescent="0.3">
      <c r="A129" t="s">
        <v>130</v>
      </c>
      <c r="B129">
        <v>47024.05</v>
      </c>
      <c r="C129">
        <v>4.9931999999999999</v>
      </c>
      <c r="D129">
        <v>30.936900000000001</v>
      </c>
      <c r="E129">
        <v>4.7E-2</v>
      </c>
      <c r="F129">
        <v>50000</v>
      </c>
    </row>
    <row r="130" spans="1:6" x14ac:dyDescent="0.3">
      <c r="A130" t="s">
        <v>131</v>
      </c>
      <c r="B130">
        <v>491533</v>
      </c>
      <c r="C130">
        <v>2.2423000000000002</v>
      </c>
      <c r="D130">
        <v>6.3170999999999999</v>
      </c>
      <c r="E130">
        <v>2.1999999999999999E-2</v>
      </c>
      <c r="F130">
        <v>500000</v>
      </c>
    </row>
    <row r="131" spans="1:6" x14ac:dyDescent="0.3">
      <c r="A131" t="s">
        <v>132</v>
      </c>
      <c r="B131">
        <v>99711.4</v>
      </c>
      <c r="C131">
        <v>0.48099999999999998</v>
      </c>
      <c r="D131">
        <v>0.46279999999999999</v>
      </c>
      <c r="E131">
        <v>4.7999999999999996E-3</v>
      </c>
      <c r="F131">
        <v>100000</v>
      </c>
    </row>
    <row r="132" spans="1:6" x14ac:dyDescent="0.3">
      <c r="A132" t="s">
        <v>133</v>
      </c>
      <c r="B132">
        <v>200279</v>
      </c>
      <c r="C132">
        <v>0.48099999999999998</v>
      </c>
      <c r="D132">
        <v>0.46260000000000001</v>
      </c>
      <c r="E132">
        <v>4.7999999999999996E-3</v>
      </c>
      <c r="F132">
        <v>200000</v>
      </c>
    </row>
    <row r="133" spans="1:6" x14ac:dyDescent="0.3">
      <c r="A133" t="s">
        <v>134</v>
      </c>
      <c r="B133">
        <v>4992.93</v>
      </c>
      <c r="C133">
        <v>0.94399999999999995</v>
      </c>
      <c r="D133">
        <v>1.3533999999999999</v>
      </c>
      <c r="E133">
        <v>9.4000000000000004E-3</v>
      </c>
      <c r="F133">
        <v>5000</v>
      </c>
    </row>
    <row r="134" spans="1:6" x14ac:dyDescent="0.3">
      <c r="A134" t="s">
        <v>135</v>
      </c>
      <c r="B134">
        <v>50321.75</v>
      </c>
      <c r="C134">
        <v>0.94489999999999996</v>
      </c>
      <c r="D134">
        <v>1.3568</v>
      </c>
      <c r="E134">
        <v>9.4999999999999998E-3</v>
      </c>
      <c r="F134">
        <v>50000</v>
      </c>
    </row>
    <row r="135" spans="1:6" x14ac:dyDescent="0.3">
      <c r="A135" t="s">
        <v>136</v>
      </c>
      <c r="B135">
        <v>4895.38</v>
      </c>
      <c r="C135">
        <v>2.6366999999999998</v>
      </c>
      <c r="D135">
        <v>8.5991999999999997</v>
      </c>
      <c r="E135">
        <v>2.58E-2</v>
      </c>
      <c r="F135">
        <v>5000</v>
      </c>
    </row>
    <row r="136" spans="1:6" x14ac:dyDescent="0.3">
      <c r="A136" t="s">
        <v>137</v>
      </c>
      <c r="B136">
        <v>198137.60000000001</v>
      </c>
      <c r="C136">
        <v>2.2248999999999999</v>
      </c>
      <c r="D136">
        <v>6.2438000000000002</v>
      </c>
      <c r="E136">
        <v>2.1999999999999999E-2</v>
      </c>
      <c r="F136">
        <v>200000</v>
      </c>
    </row>
    <row r="137" spans="1:6" x14ac:dyDescent="0.3">
      <c r="A137" t="s">
        <v>138</v>
      </c>
      <c r="B137">
        <v>4699.5200000000004</v>
      </c>
      <c r="C137">
        <v>5.5909000000000004</v>
      </c>
      <c r="D137">
        <v>39.156999999999996</v>
      </c>
      <c r="E137">
        <v>5.2499999999999998E-2</v>
      </c>
      <c r="F137">
        <v>5000</v>
      </c>
    </row>
    <row r="138" spans="1:6" x14ac:dyDescent="0.3">
      <c r="A138" t="s">
        <v>139</v>
      </c>
      <c r="B138">
        <v>495663.5</v>
      </c>
      <c r="C138">
        <v>3.0005000000000002</v>
      </c>
      <c r="D138">
        <v>11.081899999999999</v>
      </c>
      <c r="E138">
        <v>2.9700000000000001E-2</v>
      </c>
      <c r="F138">
        <v>500000</v>
      </c>
    </row>
    <row r="139" spans="1:6" x14ac:dyDescent="0.3">
      <c r="A139" t="s">
        <v>140</v>
      </c>
      <c r="B139">
        <v>98243</v>
      </c>
      <c r="C139">
        <v>1.8226</v>
      </c>
      <c r="D139">
        <v>4.2996999999999996</v>
      </c>
      <c r="E139">
        <v>1.7899999999999999E-2</v>
      </c>
      <c r="F139">
        <v>100000</v>
      </c>
    </row>
    <row r="140" spans="1:6" x14ac:dyDescent="0.3">
      <c r="A140" t="s">
        <v>141</v>
      </c>
      <c r="B140">
        <v>4996.37</v>
      </c>
      <c r="C140">
        <v>1.8165</v>
      </c>
      <c r="D140">
        <v>4.2828999999999997</v>
      </c>
      <c r="E140">
        <v>1.8200000000000001E-2</v>
      </c>
      <c r="F140">
        <v>5000</v>
      </c>
    </row>
    <row r="141" spans="1:6" x14ac:dyDescent="0.3">
      <c r="A141" t="s">
        <v>142</v>
      </c>
      <c r="B141">
        <v>49966.3</v>
      </c>
      <c r="C141">
        <v>0.48120000000000002</v>
      </c>
      <c r="D141">
        <v>0.4632</v>
      </c>
      <c r="E141">
        <v>4.7999999999999996E-3</v>
      </c>
      <c r="F141">
        <v>50000</v>
      </c>
    </row>
    <row r="142" spans="1:6" x14ac:dyDescent="0.3">
      <c r="A142" t="s">
        <v>143</v>
      </c>
      <c r="B142">
        <v>50641.1</v>
      </c>
      <c r="C142">
        <v>5.5484999999999998</v>
      </c>
      <c r="D142">
        <v>38.7699</v>
      </c>
      <c r="E142">
        <v>5.62E-2</v>
      </c>
      <c r="F142">
        <v>50000</v>
      </c>
    </row>
    <row r="143" spans="1:6" x14ac:dyDescent="0.3">
      <c r="A143" t="s">
        <v>144</v>
      </c>
      <c r="B143">
        <v>10087.76</v>
      </c>
      <c r="C143">
        <v>0.94169999999999998</v>
      </c>
      <c r="D143">
        <v>1.349</v>
      </c>
      <c r="E143">
        <v>9.4999999999999998E-3</v>
      </c>
      <c r="F143">
        <v>10000</v>
      </c>
    </row>
    <row r="144" spans="1:6" x14ac:dyDescent="0.3">
      <c r="A144" t="s">
        <v>145</v>
      </c>
      <c r="B144">
        <v>49985.65</v>
      </c>
      <c r="C144">
        <v>0.47910000000000003</v>
      </c>
      <c r="D144">
        <v>0.45900000000000002</v>
      </c>
      <c r="E144">
        <v>4.7999999999999996E-3</v>
      </c>
      <c r="F144">
        <v>50000</v>
      </c>
    </row>
    <row r="145" spans="1:6" x14ac:dyDescent="0.3">
      <c r="A145" t="s">
        <v>146</v>
      </c>
      <c r="B145">
        <v>49408.2</v>
      </c>
      <c r="C145">
        <v>1.8286</v>
      </c>
      <c r="D145">
        <v>4.3247999999999998</v>
      </c>
      <c r="E145">
        <v>1.8100000000000002E-2</v>
      </c>
      <c r="F145">
        <v>50000</v>
      </c>
    </row>
    <row r="146" spans="1:6" x14ac:dyDescent="0.3">
      <c r="A146" t="s">
        <v>147</v>
      </c>
      <c r="B146">
        <v>49573.1</v>
      </c>
      <c r="C146">
        <v>2.5956000000000001</v>
      </c>
      <c r="D146">
        <v>8.4001000000000001</v>
      </c>
      <c r="E146">
        <v>2.5700000000000001E-2</v>
      </c>
      <c r="F146">
        <v>50000</v>
      </c>
    </row>
    <row r="147" spans="1:6" x14ac:dyDescent="0.3">
      <c r="A147" t="s">
        <v>148</v>
      </c>
      <c r="B147">
        <v>10086.1</v>
      </c>
      <c r="C147">
        <v>2.6006999999999998</v>
      </c>
      <c r="D147">
        <v>8.4354999999999993</v>
      </c>
      <c r="E147">
        <v>2.6200000000000001E-2</v>
      </c>
      <c r="F147">
        <v>10000</v>
      </c>
    </row>
    <row r="148" spans="1:6" x14ac:dyDescent="0.3">
      <c r="A148" t="s">
        <v>149</v>
      </c>
      <c r="B148">
        <v>4935.5600000000004</v>
      </c>
      <c r="C148">
        <v>1.8234999999999999</v>
      </c>
      <c r="D148">
        <v>4.3047000000000004</v>
      </c>
      <c r="E148">
        <v>1.7999999999999999E-2</v>
      </c>
      <c r="F148">
        <v>5000</v>
      </c>
    </row>
    <row r="149" spans="1:6" x14ac:dyDescent="0.3">
      <c r="A149" t="s">
        <v>150</v>
      </c>
      <c r="B149">
        <v>19905.78</v>
      </c>
      <c r="C149">
        <v>1.3877999999999999</v>
      </c>
      <c r="D149">
        <v>2.6328999999999998</v>
      </c>
      <c r="E149">
        <v>1.38E-2</v>
      </c>
      <c r="F149">
        <v>20000</v>
      </c>
    </row>
    <row r="150" spans="1:6" x14ac:dyDescent="0.3">
      <c r="A150" t="s">
        <v>151</v>
      </c>
      <c r="B150">
        <v>10269.040000000001</v>
      </c>
      <c r="C150">
        <v>4.5926</v>
      </c>
      <c r="D150">
        <v>26.3858</v>
      </c>
      <c r="E150">
        <v>4.7199999999999999E-2</v>
      </c>
      <c r="F150">
        <v>10000</v>
      </c>
    </row>
    <row r="151" spans="1:6" x14ac:dyDescent="0.3">
      <c r="A151" t="s">
        <v>152</v>
      </c>
      <c r="B151">
        <v>10034.44</v>
      </c>
      <c r="C151">
        <v>1.8102</v>
      </c>
      <c r="D151">
        <v>4.2606000000000002</v>
      </c>
      <c r="E151">
        <v>1.8200000000000001E-2</v>
      </c>
      <c r="F151">
        <v>10000</v>
      </c>
    </row>
    <row r="152" spans="1:6" x14ac:dyDescent="0.3">
      <c r="A152" t="s">
        <v>153</v>
      </c>
      <c r="B152">
        <v>501803</v>
      </c>
      <c r="C152">
        <v>1.8007</v>
      </c>
      <c r="D152">
        <v>4.2248000000000001</v>
      </c>
      <c r="E152">
        <v>1.8100000000000002E-2</v>
      </c>
      <c r="F152">
        <v>500000</v>
      </c>
    </row>
    <row r="153" spans="1:6" x14ac:dyDescent="0.3">
      <c r="A153" t="s">
        <v>154</v>
      </c>
      <c r="B153">
        <v>50244.7</v>
      </c>
      <c r="C153">
        <v>0.94010000000000005</v>
      </c>
      <c r="D153">
        <v>1.3445</v>
      </c>
      <c r="E153">
        <v>9.4000000000000004E-3</v>
      </c>
      <c r="F153">
        <v>50000</v>
      </c>
    </row>
    <row r="154" spans="1:6" x14ac:dyDescent="0.3">
      <c r="A154" t="s">
        <v>155</v>
      </c>
      <c r="B154">
        <v>5022.92</v>
      </c>
      <c r="C154">
        <v>1.3871</v>
      </c>
      <c r="D154">
        <v>2.6334</v>
      </c>
      <c r="E154">
        <v>1.3899999999999999E-2</v>
      </c>
      <c r="F154">
        <v>5000</v>
      </c>
    </row>
    <row r="155" spans="1:6" x14ac:dyDescent="0.3">
      <c r="A155" t="s">
        <v>156</v>
      </c>
      <c r="B155">
        <v>495262.5</v>
      </c>
      <c r="C155">
        <v>0.94020000000000004</v>
      </c>
      <c r="D155">
        <v>1.3427</v>
      </c>
      <c r="E155">
        <v>9.2999999999999992E-3</v>
      </c>
      <c r="F155">
        <v>500000</v>
      </c>
    </row>
    <row r="156" spans="1:6" x14ac:dyDescent="0.3">
      <c r="A156" t="s">
        <v>157</v>
      </c>
      <c r="B156">
        <v>497213</v>
      </c>
      <c r="C156">
        <v>0.94589999999999996</v>
      </c>
      <c r="D156">
        <v>1.3579000000000001</v>
      </c>
      <c r="E156">
        <v>9.4000000000000004E-3</v>
      </c>
      <c r="F156">
        <v>500000</v>
      </c>
    </row>
    <row r="157" spans="1:6" x14ac:dyDescent="0.3">
      <c r="A157" t="s">
        <v>158</v>
      </c>
      <c r="B157">
        <v>193179.6</v>
      </c>
      <c r="C157">
        <v>2.6379000000000001</v>
      </c>
      <c r="D157">
        <v>8.5973000000000006</v>
      </c>
      <c r="E157">
        <v>2.5499999999999998E-2</v>
      </c>
      <c r="F157">
        <v>200000</v>
      </c>
    </row>
    <row r="158" spans="1:6" x14ac:dyDescent="0.3">
      <c r="A158" t="s">
        <v>159</v>
      </c>
      <c r="B158">
        <v>5018.01</v>
      </c>
      <c r="C158">
        <v>1.3837999999999999</v>
      </c>
      <c r="D158">
        <v>2.6227999999999998</v>
      </c>
      <c r="E158">
        <v>1.3899999999999999E-2</v>
      </c>
      <c r="F158">
        <v>5000</v>
      </c>
    </row>
    <row r="159" spans="1:6" x14ac:dyDescent="0.3">
      <c r="A159" t="s">
        <v>160</v>
      </c>
      <c r="B159">
        <v>4892.07</v>
      </c>
      <c r="C159">
        <v>2.2204999999999999</v>
      </c>
      <c r="D159">
        <v>6.2182000000000004</v>
      </c>
      <c r="E159">
        <v>2.1700000000000001E-2</v>
      </c>
      <c r="F159">
        <v>5000</v>
      </c>
    </row>
    <row r="160" spans="1:6" x14ac:dyDescent="0.3">
      <c r="A160" t="s">
        <v>161</v>
      </c>
      <c r="B160">
        <v>4969.1000000000004</v>
      </c>
      <c r="C160">
        <v>0.47910000000000003</v>
      </c>
      <c r="D160">
        <v>0.45900000000000002</v>
      </c>
      <c r="E160">
        <v>4.7999999999999996E-3</v>
      </c>
      <c r="F160">
        <v>5000</v>
      </c>
    </row>
    <row r="161" spans="1:6" x14ac:dyDescent="0.3">
      <c r="A161" t="s">
        <v>162</v>
      </c>
      <c r="B161">
        <v>199261.4</v>
      </c>
      <c r="C161">
        <v>0.47960000000000003</v>
      </c>
      <c r="D161">
        <v>0.46</v>
      </c>
      <c r="E161">
        <v>4.7999999999999996E-3</v>
      </c>
      <c r="F161">
        <v>200000</v>
      </c>
    </row>
    <row r="162" spans="1:6" x14ac:dyDescent="0.3">
      <c r="A162" t="s">
        <v>163</v>
      </c>
      <c r="B162">
        <v>10304.65</v>
      </c>
      <c r="C162">
        <v>2.1836000000000002</v>
      </c>
      <c r="D162">
        <v>6.0808</v>
      </c>
      <c r="E162">
        <v>2.2499999999999999E-2</v>
      </c>
      <c r="F162">
        <v>10000</v>
      </c>
    </row>
    <row r="163" spans="1:6" x14ac:dyDescent="0.3">
      <c r="A163" t="s">
        <v>164</v>
      </c>
      <c r="B163">
        <v>498637</v>
      </c>
      <c r="C163">
        <v>0.4783</v>
      </c>
      <c r="D163">
        <v>0.45750000000000002</v>
      </c>
      <c r="E163">
        <v>4.7999999999999996E-3</v>
      </c>
      <c r="F163">
        <v>500000</v>
      </c>
    </row>
    <row r="164" spans="1:6" x14ac:dyDescent="0.3">
      <c r="A164" t="s">
        <v>165</v>
      </c>
      <c r="B164">
        <v>496707.5</v>
      </c>
      <c r="C164">
        <v>1.3748</v>
      </c>
      <c r="D164">
        <v>2.5911</v>
      </c>
      <c r="E164">
        <v>1.37E-2</v>
      </c>
      <c r="F164">
        <v>500000</v>
      </c>
    </row>
    <row r="165" spans="1:6" x14ac:dyDescent="0.3">
      <c r="A165" t="s">
        <v>166</v>
      </c>
      <c r="B165">
        <v>50578</v>
      </c>
      <c r="C165">
        <v>1.3712</v>
      </c>
      <c r="D165">
        <v>2.5847000000000002</v>
      </c>
      <c r="E165">
        <v>1.3899999999999999E-2</v>
      </c>
      <c r="F165">
        <v>50000</v>
      </c>
    </row>
    <row r="166" spans="1:6" x14ac:dyDescent="0.3">
      <c r="A166" t="s">
        <v>167</v>
      </c>
      <c r="B166">
        <v>505444.5</v>
      </c>
      <c r="C166">
        <v>0.93630000000000002</v>
      </c>
      <c r="D166">
        <v>1.3355999999999999</v>
      </c>
      <c r="E166">
        <v>9.4999999999999998E-3</v>
      </c>
      <c r="F166">
        <v>500000</v>
      </c>
    </row>
    <row r="167" spans="1:6" x14ac:dyDescent="0.3">
      <c r="A167" t="s">
        <v>168</v>
      </c>
      <c r="B167">
        <v>50478.8</v>
      </c>
      <c r="C167">
        <v>3.29</v>
      </c>
      <c r="D167">
        <v>13.4312</v>
      </c>
      <c r="E167">
        <v>3.32E-2</v>
      </c>
      <c r="F167">
        <v>50000</v>
      </c>
    </row>
    <row r="168" spans="1:6" x14ac:dyDescent="0.3">
      <c r="A168" t="s">
        <v>169</v>
      </c>
      <c r="B168">
        <v>5135.76</v>
      </c>
      <c r="C168">
        <v>2.9216000000000002</v>
      </c>
      <c r="D168">
        <v>10.659800000000001</v>
      </c>
      <c r="E168">
        <v>0.03</v>
      </c>
      <c r="F168">
        <v>5000</v>
      </c>
    </row>
    <row r="169" spans="1:6" x14ac:dyDescent="0.3">
      <c r="A169" t="s">
        <v>170</v>
      </c>
      <c r="B169">
        <v>9840.42</v>
      </c>
      <c r="C169">
        <v>4.4591000000000003</v>
      </c>
      <c r="D169">
        <v>25.216200000000001</v>
      </c>
      <c r="E169">
        <v>4.3900000000000002E-2</v>
      </c>
      <c r="F169">
        <v>10000</v>
      </c>
    </row>
    <row r="170" spans="1:6" x14ac:dyDescent="0.3">
      <c r="A170" t="s">
        <v>171</v>
      </c>
      <c r="B170">
        <v>5102.53</v>
      </c>
      <c r="C170">
        <v>1.7862</v>
      </c>
      <c r="D170">
        <v>4.1759000000000004</v>
      </c>
      <c r="E170">
        <v>1.8200000000000001E-2</v>
      </c>
      <c r="F170">
        <v>5000</v>
      </c>
    </row>
    <row r="171" spans="1:6" x14ac:dyDescent="0.3">
      <c r="A171" t="s">
        <v>172</v>
      </c>
      <c r="B171">
        <v>100401.2</v>
      </c>
      <c r="C171">
        <v>0.93220000000000003</v>
      </c>
      <c r="D171">
        <v>1.3242</v>
      </c>
      <c r="E171">
        <v>9.4000000000000004E-3</v>
      </c>
      <c r="F171">
        <v>100000</v>
      </c>
    </row>
    <row r="172" spans="1:6" x14ac:dyDescent="0.3">
      <c r="A172" t="s">
        <v>173</v>
      </c>
      <c r="B172">
        <v>199387</v>
      </c>
      <c r="C172">
        <v>2.5575000000000001</v>
      </c>
      <c r="D172">
        <v>8.2121999999999993</v>
      </c>
      <c r="E172">
        <v>2.5499999999999998E-2</v>
      </c>
      <c r="F172">
        <v>200000</v>
      </c>
    </row>
    <row r="173" spans="1:6" x14ac:dyDescent="0.3">
      <c r="A173" t="s">
        <v>174</v>
      </c>
      <c r="B173">
        <v>4876.32</v>
      </c>
      <c r="C173">
        <v>2.1898</v>
      </c>
      <c r="D173">
        <v>6.0818000000000003</v>
      </c>
      <c r="E173">
        <v>2.1399999999999999E-2</v>
      </c>
      <c r="F173">
        <v>5000</v>
      </c>
    </row>
    <row r="174" spans="1:6" x14ac:dyDescent="0.3">
      <c r="A174" t="s">
        <v>175</v>
      </c>
      <c r="B174">
        <v>101907.8</v>
      </c>
      <c r="C174">
        <v>2.1778</v>
      </c>
      <c r="D174">
        <v>6.0502000000000002</v>
      </c>
      <c r="E174">
        <v>2.2200000000000001E-2</v>
      </c>
      <c r="F174">
        <v>100000</v>
      </c>
    </row>
    <row r="175" spans="1:6" x14ac:dyDescent="0.3">
      <c r="A175" t="s">
        <v>176</v>
      </c>
      <c r="B175">
        <v>19951.419999999998</v>
      </c>
      <c r="C175">
        <v>0.4763</v>
      </c>
      <c r="D175">
        <v>0.4536</v>
      </c>
      <c r="E175">
        <v>4.7999999999999996E-3</v>
      </c>
      <c r="F175">
        <v>20000</v>
      </c>
    </row>
    <row r="176" spans="1:6" x14ac:dyDescent="0.3">
      <c r="A176" t="s">
        <v>177</v>
      </c>
      <c r="B176">
        <v>49878.65</v>
      </c>
      <c r="C176">
        <v>2.2080000000000002</v>
      </c>
      <c r="D176">
        <v>6.1727999999999996</v>
      </c>
      <c r="E176">
        <v>2.1999999999999999E-2</v>
      </c>
      <c r="F176">
        <v>50000</v>
      </c>
    </row>
    <row r="177" spans="1:6" x14ac:dyDescent="0.3">
      <c r="A177" t="s">
        <v>178</v>
      </c>
      <c r="B177">
        <v>49929.8</v>
      </c>
      <c r="C177">
        <v>0.93600000000000005</v>
      </c>
      <c r="D177">
        <v>1.3331</v>
      </c>
      <c r="E177">
        <v>9.2999999999999992E-3</v>
      </c>
      <c r="F177">
        <v>50000</v>
      </c>
    </row>
    <row r="178" spans="1:6" x14ac:dyDescent="0.3">
      <c r="A178" t="s">
        <v>179</v>
      </c>
      <c r="B178">
        <v>19816.240000000002</v>
      </c>
      <c r="C178">
        <v>1.8073999999999999</v>
      </c>
      <c r="D178">
        <v>4.2450000000000001</v>
      </c>
      <c r="E178">
        <v>1.7899999999999999E-2</v>
      </c>
      <c r="F178">
        <v>20000</v>
      </c>
    </row>
    <row r="179" spans="1:6" x14ac:dyDescent="0.3">
      <c r="A179" t="s">
        <v>180</v>
      </c>
      <c r="B179">
        <v>99514.9</v>
      </c>
      <c r="C179">
        <v>0.93389999999999995</v>
      </c>
      <c r="D179">
        <v>1.3274999999999999</v>
      </c>
      <c r="E179">
        <v>9.2999999999999992E-3</v>
      </c>
      <c r="F179">
        <v>100000</v>
      </c>
    </row>
    <row r="180" spans="1:6" x14ac:dyDescent="0.3">
      <c r="A180" t="s">
        <v>181</v>
      </c>
      <c r="B180">
        <v>50295.1</v>
      </c>
      <c r="C180">
        <v>2.9445999999999999</v>
      </c>
      <c r="D180">
        <v>10.776300000000001</v>
      </c>
      <c r="E180">
        <v>2.9600000000000001E-2</v>
      </c>
      <c r="F180">
        <v>50000</v>
      </c>
    </row>
    <row r="181" spans="1:6" x14ac:dyDescent="0.3">
      <c r="A181" t="s">
        <v>182</v>
      </c>
      <c r="B181">
        <v>200794.6</v>
      </c>
      <c r="C181">
        <v>0.47870000000000001</v>
      </c>
      <c r="D181">
        <v>0.45829999999999999</v>
      </c>
      <c r="E181">
        <v>4.7999999999999996E-3</v>
      </c>
      <c r="F181">
        <v>200000</v>
      </c>
    </row>
    <row r="182" spans="1:6" x14ac:dyDescent="0.3">
      <c r="A182" t="s">
        <v>183</v>
      </c>
      <c r="B182">
        <v>481321.5</v>
      </c>
      <c r="C182">
        <v>2.2025000000000001</v>
      </c>
      <c r="D182">
        <v>6.1313000000000004</v>
      </c>
      <c r="E182">
        <v>2.12E-2</v>
      </c>
      <c r="F182">
        <v>500000</v>
      </c>
    </row>
    <row r="183" spans="1:6" x14ac:dyDescent="0.3">
      <c r="A183" t="s">
        <v>184</v>
      </c>
      <c r="B183">
        <v>20094.86</v>
      </c>
      <c r="C183">
        <v>0.47910000000000003</v>
      </c>
      <c r="D183">
        <v>0.45900000000000002</v>
      </c>
      <c r="E183">
        <v>4.7999999999999996E-3</v>
      </c>
      <c r="F183">
        <v>20000</v>
      </c>
    </row>
    <row r="184" spans="1:6" x14ac:dyDescent="0.3">
      <c r="A184" t="s">
        <v>185</v>
      </c>
      <c r="B184">
        <v>198666.2</v>
      </c>
      <c r="C184">
        <v>2.9068000000000001</v>
      </c>
      <c r="D184">
        <v>10.556800000000001</v>
      </c>
      <c r="E184">
        <v>2.8899999999999999E-2</v>
      </c>
      <c r="F184">
        <v>200000</v>
      </c>
    </row>
    <row r="185" spans="1:6" x14ac:dyDescent="0.3">
      <c r="A185" t="s">
        <v>186</v>
      </c>
      <c r="B185">
        <v>207154.8</v>
      </c>
      <c r="C185">
        <v>3.9226999999999999</v>
      </c>
      <c r="D185">
        <v>19.228400000000001</v>
      </c>
      <c r="E185">
        <v>4.0599999999999997E-2</v>
      </c>
      <c r="F185">
        <v>200000</v>
      </c>
    </row>
    <row r="186" spans="1:6" x14ac:dyDescent="0.3">
      <c r="A186" t="s">
        <v>187</v>
      </c>
      <c r="B186">
        <v>202570.6</v>
      </c>
      <c r="C186">
        <v>2.5583999999999998</v>
      </c>
      <c r="D186">
        <v>8.2256</v>
      </c>
      <c r="E186">
        <v>2.5899999999999999E-2</v>
      </c>
      <c r="F186">
        <v>200000</v>
      </c>
    </row>
    <row r="187" spans="1:6" x14ac:dyDescent="0.3">
      <c r="A187" t="s">
        <v>188</v>
      </c>
      <c r="B187">
        <v>496638</v>
      </c>
      <c r="C187">
        <v>0.4768</v>
      </c>
      <c r="D187">
        <v>0.45479999999999998</v>
      </c>
      <c r="E187">
        <v>4.7000000000000002E-3</v>
      </c>
      <c r="F187">
        <v>500000</v>
      </c>
    </row>
    <row r="188" spans="1:6" x14ac:dyDescent="0.3">
      <c r="A188" t="s">
        <v>189</v>
      </c>
      <c r="B188">
        <v>198663.8</v>
      </c>
      <c r="C188">
        <v>1.3662000000000001</v>
      </c>
      <c r="D188">
        <v>2.5642999999999998</v>
      </c>
      <c r="E188">
        <v>1.3599999999999999E-2</v>
      </c>
      <c r="F188">
        <v>200000</v>
      </c>
    </row>
    <row r="189" spans="1:6" x14ac:dyDescent="0.3">
      <c r="A189" t="s">
        <v>190</v>
      </c>
      <c r="B189">
        <v>19879.2</v>
      </c>
      <c r="C189">
        <v>1.7802</v>
      </c>
      <c r="D189">
        <v>4.1435000000000004</v>
      </c>
      <c r="E189">
        <v>1.77E-2</v>
      </c>
      <c r="F189">
        <v>20000</v>
      </c>
    </row>
    <row r="190" spans="1:6" x14ac:dyDescent="0.3">
      <c r="A190" t="s">
        <v>191</v>
      </c>
      <c r="B190">
        <v>50562.75</v>
      </c>
      <c r="C190">
        <v>1.7795000000000001</v>
      </c>
      <c r="D190">
        <v>4.1474000000000002</v>
      </c>
      <c r="E190">
        <v>1.7999999999999999E-2</v>
      </c>
      <c r="F190">
        <v>50000</v>
      </c>
    </row>
    <row r="191" spans="1:6" x14ac:dyDescent="0.3">
      <c r="A191" t="s">
        <v>192</v>
      </c>
      <c r="B191">
        <v>49920.5</v>
      </c>
      <c r="C191">
        <v>0.93569999999999998</v>
      </c>
      <c r="D191">
        <v>1.3323</v>
      </c>
      <c r="E191">
        <v>9.2999999999999992E-3</v>
      </c>
      <c r="F191">
        <v>50000</v>
      </c>
    </row>
    <row r="192" spans="1:6" x14ac:dyDescent="0.3">
      <c r="A192" t="s">
        <v>193</v>
      </c>
      <c r="B192">
        <v>494053</v>
      </c>
      <c r="C192">
        <v>2.2124000000000001</v>
      </c>
      <c r="D192">
        <v>6.1874000000000002</v>
      </c>
      <c r="E192">
        <v>2.1899999999999999E-2</v>
      </c>
      <c r="F192">
        <v>500000</v>
      </c>
    </row>
    <row r="193" spans="1:6" x14ac:dyDescent="0.3">
      <c r="A193" t="s">
        <v>194</v>
      </c>
      <c r="B193">
        <v>101659.4</v>
      </c>
      <c r="C193">
        <v>1.7934000000000001</v>
      </c>
      <c r="D193">
        <v>4.2016999999999998</v>
      </c>
      <c r="E193">
        <v>1.8200000000000001E-2</v>
      </c>
      <c r="F193">
        <v>100000</v>
      </c>
    </row>
    <row r="194" spans="1:6" x14ac:dyDescent="0.3">
      <c r="A194" t="s">
        <v>195</v>
      </c>
      <c r="B194">
        <v>4948.3</v>
      </c>
      <c r="C194">
        <v>1.7890999999999999</v>
      </c>
      <c r="D194">
        <v>4.1755000000000004</v>
      </c>
      <c r="E194">
        <v>1.77E-2</v>
      </c>
      <c r="F194">
        <v>5000</v>
      </c>
    </row>
    <row r="195" spans="1:6" x14ac:dyDescent="0.3">
      <c r="A195" t="s">
        <v>196</v>
      </c>
      <c r="B195">
        <v>50124.4</v>
      </c>
      <c r="C195">
        <v>0.47839999999999999</v>
      </c>
      <c r="D195">
        <v>0.4577</v>
      </c>
      <c r="E195">
        <v>4.7999999999999996E-3</v>
      </c>
      <c r="F195">
        <v>50000</v>
      </c>
    </row>
    <row r="196" spans="1:6" x14ac:dyDescent="0.3">
      <c r="A196" t="s">
        <v>197</v>
      </c>
      <c r="B196">
        <v>49995.25</v>
      </c>
      <c r="C196">
        <v>0.47739999999999999</v>
      </c>
      <c r="D196">
        <v>0.45579999999999998</v>
      </c>
      <c r="E196">
        <v>4.7999999999999996E-3</v>
      </c>
      <c r="F196">
        <v>50000</v>
      </c>
    </row>
    <row r="197" spans="1:6" x14ac:dyDescent="0.3">
      <c r="A197" t="s">
        <v>198</v>
      </c>
      <c r="B197">
        <v>20123.8</v>
      </c>
      <c r="C197">
        <v>3.2504</v>
      </c>
      <c r="D197">
        <v>13.1829</v>
      </c>
      <c r="E197">
        <v>3.27E-2</v>
      </c>
      <c r="F197">
        <v>20000</v>
      </c>
    </row>
    <row r="198" spans="1:6" x14ac:dyDescent="0.3">
      <c r="A198" t="s">
        <v>199</v>
      </c>
      <c r="B198">
        <v>50179.85</v>
      </c>
      <c r="C198">
        <v>1.7963</v>
      </c>
      <c r="D198">
        <v>4.2081</v>
      </c>
      <c r="E198">
        <v>1.7999999999999999E-2</v>
      </c>
      <c r="F198">
        <v>50000</v>
      </c>
    </row>
    <row r="199" spans="1:6" x14ac:dyDescent="0.3">
      <c r="A199" t="s">
        <v>200</v>
      </c>
      <c r="B199">
        <v>19995.22</v>
      </c>
      <c r="C199">
        <v>0.4773</v>
      </c>
      <c r="D199">
        <v>0.45569999999999999</v>
      </c>
      <c r="E199">
        <v>4.7999999999999996E-3</v>
      </c>
      <c r="F199">
        <v>20000</v>
      </c>
    </row>
    <row r="200" spans="1:6" x14ac:dyDescent="0.3">
      <c r="A200" t="s">
        <v>201</v>
      </c>
      <c r="B200">
        <v>20072.740000000002</v>
      </c>
      <c r="C200">
        <v>0.47849999999999998</v>
      </c>
      <c r="D200">
        <v>0.45800000000000002</v>
      </c>
      <c r="E200">
        <v>4.7999999999999996E-3</v>
      </c>
      <c r="F200">
        <v>20000</v>
      </c>
    </row>
    <row r="201" spans="1:6" x14ac:dyDescent="0.3">
      <c r="A201" t="s">
        <v>202</v>
      </c>
      <c r="B201">
        <v>99723.4</v>
      </c>
      <c r="C201">
        <v>0.47689999999999999</v>
      </c>
      <c r="D201">
        <v>0.45490000000000003</v>
      </c>
      <c r="E201">
        <v>4.7999999999999996E-3</v>
      </c>
      <c r="F201">
        <v>100000</v>
      </c>
    </row>
    <row r="202" spans="1:6" x14ac:dyDescent="0.3">
      <c r="A202" t="s">
        <v>203</v>
      </c>
      <c r="B202">
        <v>196117</v>
      </c>
      <c r="C202">
        <v>1.7769999999999999</v>
      </c>
      <c r="D202">
        <v>4.1262999999999996</v>
      </c>
      <c r="E202">
        <v>1.7399999999999999E-2</v>
      </c>
      <c r="F202">
        <v>200000</v>
      </c>
    </row>
    <row r="203" spans="1:6" x14ac:dyDescent="0.3">
      <c r="A203" t="s">
        <v>204</v>
      </c>
      <c r="B203">
        <v>50791.55</v>
      </c>
      <c r="C203">
        <v>0.92779999999999996</v>
      </c>
      <c r="D203">
        <v>1.3146</v>
      </c>
      <c r="E203">
        <v>9.4000000000000004E-3</v>
      </c>
      <c r="F203">
        <v>50000</v>
      </c>
    </row>
    <row r="204" spans="1:6" x14ac:dyDescent="0.3">
      <c r="A204" t="s">
        <v>205</v>
      </c>
      <c r="B204">
        <v>97165.4</v>
      </c>
      <c r="C204">
        <v>1.7672000000000001</v>
      </c>
      <c r="D204">
        <v>4.0861999999999998</v>
      </c>
      <c r="E204">
        <v>1.72E-2</v>
      </c>
      <c r="F204">
        <v>100000</v>
      </c>
    </row>
    <row r="205" spans="1:6" x14ac:dyDescent="0.3">
      <c r="A205" t="s">
        <v>206</v>
      </c>
      <c r="B205">
        <v>20028.02</v>
      </c>
      <c r="C205">
        <v>1.7504999999999999</v>
      </c>
      <c r="D205">
        <v>4.0347999999999997</v>
      </c>
      <c r="E205">
        <v>1.7500000000000002E-2</v>
      </c>
      <c r="F205">
        <v>20000</v>
      </c>
    </row>
    <row r="206" spans="1:6" x14ac:dyDescent="0.3">
      <c r="A206" t="s">
        <v>207</v>
      </c>
      <c r="B206">
        <v>202903.6</v>
      </c>
      <c r="C206">
        <v>0.92749999999999999</v>
      </c>
      <c r="D206">
        <v>1.3136000000000001</v>
      </c>
      <c r="E206">
        <v>9.4000000000000004E-3</v>
      </c>
      <c r="F206">
        <v>200000</v>
      </c>
    </row>
    <row r="207" spans="1:6" x14ac:dyDescent="0.3">
      <c r="A207" t="s">
        <v>208</v>
      </c>
      <c r="B207">
        <v>496759</v>
      </c>
      <c r="C207">
        <v>2.8249</v>
      </c>
      <c r="D207">
        <v>10.1028</v>
      </c>
      <c r="E207">
        <v>2.81E-2</v>
      </c>
      <c r="F207">
        <v>500000</v>
      </c>
    </row>
    <row r="208" spans="1:6" x14ac:dyDescent="0.3">
      <c r="A208" t="s">
        <v>209</v>
      </c>
      <c r="B208">
        <v>203787.4</v>
      </c>
      <c r="C208">
        <v>1.3545</v>
      </c>
      <c r="D208">
        <v>2.5337999999999998</v>
      </c>
      <c r="E208">
        <v>1.38E-2</v>
      </c>
      <c r="F208">
        <v>200000</v>
      </c>
    </row>
    <row r="209" spans="1:6" x14ac:dyDescent="0.3">
      <c r="A209" t="s">
        <v>210</v>
      </c>
      <c r="B209">
        <v>193792.6</v>
      </c>
      <c r="C209">
        <v>1.3569</v>
      </c>
      <c r="D209">
        <v>2.5283000000000002</v>
      </c>
      <c r="E209">
        <v>1.3100000000000001E-2</v>
      </c>
      <c r="F209">
        <v>200000</v>
      </c>
    </row>
    <row r="210" spans="1:6" x14ac:dyDescent="0.3">
      <c r="A210" t="s">
        <v>211</v>
      </c>
      <c r="B210">
        <v>19875.72</v>
      </c>
      <c r="C210">
        <v>0.92889999999999995</v>
      </c>
      <c r="D210">
        <v>1.3145</v>
      </c>
      <c r="E210">
        <v>9.1999999999999998E-3</v>
      </c>
      <c r="F210">
        <v>20000</v>
      </c>
    </row>
    <row r="211" spans="1:6" x14ac:dyDescent="0.3">
      <c r="A211" t="s">
        <v>212</v>
      </c>
      <c r="B211">
        <v>497870</v>
      </c>
      <c r="C211">
        <v>2.5099999999999998</v>
      </c>
      <c r="D211">
        <v>7.9757999999999996</v>
      </c>
      <c r="E211">
        <v>2.5000000000000001E-2</v>
      </c>
      <c r="F211">
        <v>500000</v>
      </c>
    </row>
    <row r="212" spans="1:6" x14ac:dyDescent="0.3">
      <c r="A212" t="s">
        <v>213</v>
      </c>
      <c r="B212">
        <v>200460.79999999999</v>
      </c>
      <c r="C212">
        <v>0.92100000000000004</v>
      </c>
      <c r="D212">
        <v>1.2956000000000001</v>
      </c>
      <c r="E212">
        <v>9.1999999999999998E-3</v>
      </c>
      <c r="F212">
        <v>200000</v>
      </c>
    </row>
    <row r="213" spans="1:6" x14ac:dyDescent="0.3">
      <c r="A213" t="s">
        <v>214</v>
      </c>
      <c r="B213">
        <v>50730.45</v>
      </c>
      <c r="C213">
        <v>1.7514000000000001</v>
      </c>
      <c r="D213">
        <v>4.0426000000000002</v>
      </c>
      <c r="E213">
        <v>1.78E-2</v>
      </c>
      <c r="F213">
        <v>50000</v>
      </c>
    </row>
    <row r="214" spans="1:6" x14ac:dyDescent="0.3">
      <c r="A214" t="s">
        <v>215</v>
      </c>
      <c r="B214">
        <v>4817.78</v>
      </c>
      <c r="C214">
        <v>2.1474000000000002</v>
      </c>
      <c r="D214">
        <v>5.8914999999999997</v>
      </c>
      <c r="E214">
        <v>2.07E-2</v>
      </c>
      <c r="F214">
        <v>5000</v>
      </c>
    </row>
    <row r="215" spans="1:6" x14ac:dyDescent="0.3">
      <c r="A215" t="s">
        <v>216</v>
      </c>
      <c r="B215">
        <v>197808.6</v>
      </c>
      <c r="C215">
        <v>0.92320000000000002</v>
      </c>
      <c r="D215">
        <v>1.2994000000000001</v>
      </c>
      <c r="E215">
        <v>9.1000000000000004E-3</v>
      </c>
      <c r="F215">
        <v>200000</v>
      </c>
    </row>
    <row r="216" spans="1:6" x14ac:dyDescent="0.3">
      <c r="A216" t="s">
        <v>217</v>
      </c>
      <c r="B216">
        <v>99284.1</v>
      </c>
      <c r="C216">
        <v>0.93140000000000001</v>
      </c>
      <c r="D216">
        <v>1.3206</v>
      </c>
      <c r="E216">
        <v>9.1999999999999998E-3</v>
      </c>
      <c r="F216">
        <v>100000</v>
      </c>
    </row>
    <row r="217" spans="1:6" x14ac:dyDescent="0.3">
      <c r="A217" t="s">
        <v>218</v>
      </c>
      <c r="B217">
        <v>9889.92</v>
      </c>
      <c r="C217">
        <v>0.91979999999999995</v>
      </c>
      <c r="D217">
        <v>1.2907999999999999</v>
      </c>
      <c r="E217">
        <v>9.1000000000000004E-3</v>
      </c>
      <c r="F217">
        <v>10000</v>
      </c>
    </row>
    <row r="218" spans="1:6" x14ac:dyDescent="0.3">
      <c r="A218" t="s">
        <v>219</v>
      </c>
      <c r="B218">
        <v>9966.4500000000007</v>
      </c>
      <c r="C218">
        <v>0.47249999999999998</v>
      </c>
      <c r="D218">
        <v>0.44650000000000001</v>
      </c>
      <c r="E218">
        <v>4.7000000000000002E-3</v>
      </c>
      <c r="F218">
        <v>10000</v>
      </c>
    </row>
    <row r="219" spans="1:6" x14ac:dyDescent="0.3">
      <c r="A219" t="s">
        <v>220</v>
      </c>
      <c r="B219">
        <v>506124</v>
      </c>
      <c r="C219">
        <v>1.3556999999999999</v>
      </c>
      <c r="D219">
        <v>2.536</v>
      </c>
      <c r="E219">
        <v>1.37E-2</v>
      </c>
      <c r="F219">
        <v>500000</v>
      </c>
    </row>
    <row r="220" spans="1:6" x14ac:dyDescent="0.3">
      <c r="A220" t="s">
        <v>221</v>
      </c>
      <c r="B220">
        <v>10016.030000000001</v>
      </c>
      <c r="C220">
        <v>1.7801</v>
      </c>
      <c r="D220">
        <v>4.1456999999999997</v>
      </c>
      <c r="E220">
        <v>1.78E-2</v>
      </c>
      <c r="F220">
        <v>10000</v>
      </c>
    </row>
    <row r="221" spans="1:6" x14ac:dyDescent="0.3">
      <c r="A221" t="s">
        <v>222</v>
      </c>
      <c r="B221">
        <v>10015.209999999999</v>
      </c>
      <c r="C221">
        <v>0.47520000000000001</v>
      </c>
      <c r="D221">
        <v>0.4516</v>
      </c>
      <c r="E221">
        <v>4.7999999999999996E-3</v>
      </c>
      <c r="F221">
        <v>10000</v>
      </c>
    </row>
    <row r="222" spans="1:6" x14ac:dyDescent="0.3">
      <c r="A222" t="s">
        <v>223</v>
      </c>
      <c r="B222">
        <v>381746.97</v>
      </c>
      <c r="C222">
        <v>5.0263999999999998</v>
      </c>
      <c r="D222">
        <v>28.836300000000001</v>
      </c>
      <c r="E222">
        <v>4.5999999999999999E-2</v>
      </c>
      <c r="F222">
        <v>5000</v>
      </c>
    </row>
    <row r="223" spans="1:6" x14ac:dyDescent="0.3">
      <c r="A223" t="s">
        <v>224</v>
      </c>
      <c r="B223">
        <v>70671.06</v>
      </c>
      <c r="C223">
        <v>9.1692999999999998</v>
      </c>
      <c r="D223">
        <v>95.104600000000005</v>
      </c>
      <c r="E223">
        <v>7.7600000000000002E-2</v>
      </c>
      <c r="F223">
        <v>1000</v>
      </c>
    </row>
    <row r="224" spans="1:6" x14ac:dyDescent="0.3">
      <c r="A224" t="s">
        <v>225</v>
      </c>
      <c r="B224">
        <v>7476.59</v>
      </c>
      <c r="C224">
        <v>5.4305000000000003</v>
      </c>
      <c r="D224">
        <v>33.611400000000003</v>
      </c>
      <c r="E224">
        <v>4.8599999999999997E-2</v>
      </c>
      <c r="F224">
        <v>100</v>
      </c>
    </row>
    <row r="225" spans="1:6" x14ac:dyDescent="0.3">
      <c r="A225" t="s">
        <v>226</v>
      </c>
      <c r="B225">
        <v>7383.07</v>
      </c>
      <c r="C225">
        <v>7.1859000000000002</v>
      </c>
      <c r="D225">
        <v>58.154499999999999</v>
      </c>
      <c r="E225">
        <v>6.3500000000000001E-2</v>
      </c>
      <c r="F225">
        <v>100</v>
      </c>
    </row>
    <row r="226" spans="1:6" x14ac:dyDescent="0.3">
      <c r="A226" t="s">
        <v>227</v>
      </c>
      <c r="B226">
        <v>84025.21</v>
      </c>
      <c r="C226">
        <v>1.9011</v>
      </c>
      <c r="D226">
        <v>4.6123000000000003</v>
      </c>
      <c r="E226">
        <v>1.9099999999999999E-2</v>
      </c>
      <c r="F226">
        <v>1000</v>
      </c>
    </row>
    <row r="227" spans="1:6" x14ac:dyDescent="0.3">
      <c r="A227" t="s">
        <v>228</v>
      </c>
      <c r="B227">
        <v>77296.789999999994</v>
      </c>
      <c r="C227">
        <v>8.8099000000000007</v>
      </c>
      <c r="D227">
        <v>92.2834</v>
      </c>
      <c r="E227">
        <v>8.1600000000000006E-2</v>
      </c>
      <c r="F227">
        <v>1000</v>
      </c>
    </row>
    <row r="228" spans="1:6" x14ac:dyDescent="0.3">
      <c r="A228" t="s">
        <v>229</v>
      </c>
      <c r="B228">
        <v>8279.02</v>
      </c>
      <c r="C228">
        <v>1.9056999999999999</v>
      </c>
      <c r="D228">
        <v>4.6233000000000004</v>
      </c>
      <c r="E228">
        <v>1.89E-2</v>
      </c>
      <c r="F228">
        <v>100</v>
      </c>
    </row>
    <row r="229" spans="1:6" x14ac:dyDescent="0.3">
      <c r="A229" t="s">
        <v>230</v>
      </c>
      <c r="B229">
        <v>81897.63</v>
      </c>
      <c r="C229">
        <v>12.083</v>
      </c>
      <c r="D229">
        <v>180.86449999999999</v>
      </c>
      <c r="E229">
        <v>0.11849999999999999</v>
      </c>
      <c r="F229">
        <v>1000</v>
      </c>
    </row>
    <row r="230" spans="1:6" x14ac:dyDescent="0.3">
      <c r="A230" t="s">
        <v>231</v>
      </c>
      <c r="B230">
        <v>4098.18</v>
      </c>
      <c r="C230">
        <v>3.6316999999999999</v>
      </c>
      <c r="D230">
        <v>15.5693</v>
      </c>
      <c r="E230">
        <v>3.56E-2</v>
      </c>
      <c r="F230">
        <v>50</v>
      </c>
    </row>
    <row r="231" spans="1:6" x14ac:dyDescent="0.3">
      <c r="A231" t="s">
        <v>232</v>
      </c>
      <c r="B231">
        <v>81811.63</v>
      </c>
      <c r="C231">
        <v>2.3694999999999999</v>
      </c>
      <c r="D231">
        <v>6.8864000000000001</v>
      </c>
      <c r="E231">
        <v>2.3199999999999998E-2</v>
      </c>
      <c r="F231">
        <v>1000</v>
      </c>
    </row>
    <row r="232" spans="1:6" x14ac:dyDescent="0.3">
      <c r="A232" t="s">
        <v>233</v>
      </c>
      <c r="B232">
        <v>447883.15</v>
      </c>
      <c r="C232">
        <v>12.6714</v>
      </c>
      <c r="D232">
        <v>205.81720000000001</v>
      </c>
      <c r="E232">
        <v>0.13589999999999999</v>
      </c>
      <c r="F232">
        <v>5000</v>
      </c>
    </row>
    <row r="233" spans="1:6" x14ac:dyDescent="0.3">
      <c r="A233" t="s">
        <v>234</v>
      </c>
      <c r="B233">
        <v>3908.64</v>
      </c>
      <c r="C233">
        <v>6.9817</v>
      </c>
      <c r="D233">
        <v>55.895499999999998</v>
      </c>
      <c r="E233">
        <v>6.54E-2</v>
      </c>
      <c r="F233">
        <v>50</v>
      </c>
    </row>
    <row r="234" spans="1:6" x14ac:dyDescent="0.3">
      <c r="A234" t="s">
        <v>235</v>
      </c>
      <c r="B234">
        <v>40207.75</v>
      </c>
      <c r="C234">
        <v>5.3627000000000002</v>
      </c>
      <c r="D234">
        <v>33.1006</v>
      </c>
      <c r="E234">
        <v>5.16E-2</v>
      </c>
      <c r="F234">
        <v>500</v>
      </c>
    </row>
    <row r="235" spans="1:6" x14ac:dyDescent="0.3">
      <c r="A235" t="s">
        <v>236</v>
      </c>
      <c r="B235">
        <v>40717.94</v>
      </c>
      <c r="C235">
        <v>1.9036999999999999</v>
      </c>
      <c r="D235">
        <v>4.6082999999999998</v>
      </c>
      <c r="E235">
        <v>1.8599999999999998E-2</v>
      </c>
      <c r="F235">
        <v>500</v>
      </c>
    </row>
    <row r="236" spans="1:6" x14ac:dyDescent="0.3">
      <c r="A236" t="s">
        <v>237</v>
      </c>
      <c r="B236">
        <v>16658.25</v>
      </c>
      <c r="C236">
        <v>0.49009999999999998</v>
      </c>
      <c r="D236">
        <v>0.4803</v>
      </c>
      <c r="E236">
        <v>4.8999999999999998E-3</v>
      </c>
      <c r="F236">
        <v>200</v>
      </c>
    </row>
    <row r="237" spans="1:6" x14ac:dyDescent="0.3">
      <c r="A237" t="s">
        <v>238</v>
      </c>
      <c r="B237">
        <v>177645.41</v>
      </c>
      <c r="C237">
        <v>7.3133999999999997</v>
      </c>
      <c r="D237">
        <v>63.669699999999999</v>
      </c>
      <c r="E237">
        <v>7.7799999999999994E-2</v>
      </c>
      <c r="F237">
        <v>2000</v>
      </c>
    </row>
    <row r="238" spans="1:6" x14ac:dyDescent="0.3">
      <c r="A238" t="s">
        <v>239</v>
      </c>
      <c r="B238">
        <v>427921.64</v>
      </c>
      <c r="C238">
        <v>11.238</v>
      </c>
      <c r="D238">
        <v>154.77510000000001</v>
      </c>
      <c r="E238">
        <v>0.1152</v>
      </c>
      <c r="F238">
        <v>5000</v>
      </c>
    </row>
    <row r="239" spans="1:6" x14ac:dyDescent="0.3">
      <c r="A239" t="s">
        <v>240</v>
      </c>
      <c r="B239">
        <v>383356.85</v>
      </c>
      <c r="C239">
        <v>12.809699999999999</v>
      </c>
      <c r="D239">
        <v>199.94309999999999</v>
      </c>
      <c r="E239">
        <v>0.1176</v>
      </c>
      <c r="F239">
        <v>5000</v>
      </c>
    </row>
    <row r="240" spans="1:6" x14ac:dyDescent="0.3">
      <c r="A240" t="s">
        <v>241</v>
      </c>
      <c r="B240">
        <v>15429.13</v>
      </c>
      <c r="C240">
        <v>4.2309999999999999</v>
      </c>
      <c r="D240">
        <v>20.458200000000001</v>
      </c>
      <c r="E240">
        <v>3.9100000000000003E-2</v>
      </c>
      <c r="F240">
        <v>200</v>
      </c>
    </row>
    <row r="241" spans="1:6" x14ac:dyDescent="0.3">
      <c r="A241" t="s">
        <v>242</v>
      </c>
      <c r="B241">
        <v>13699.01</v>
      </c>
      <c r="C241">
        <v>13.8909</v>
      </c>
      <c r="D241">
        <v>245.6773</v>
      </c>
      <c r="E241">
        <v>0.1139</v>
      </c>
      <c r="F241">
        <v>200</v>
      </c>
    </row>
    <row r="242" spans="1:6" x14ac:dyDescent="0.3">
      <c r="A242" t="s">
        <v>243</v>
      </c>
      <c r="B242">
        <v>424129.07</v>
      </c>
      <c r="C242">
        <v>3.2197</v>
      </c>
      <c r="D242">
        <v>12.357100000000001</v>
      </c>
      <c r="E242">
        <v>3.27E-2</v>
      </c>
      <c r="F242">
        <v>5000</v>
      </c>
    </row>
    <row r="243" spans="1:6" x14ac:dyDescent="0.3">
      <c r="A243" t="s">
        <v>244</v>
      </c>
      <c r="B243">
        <v>38449.25</v>
      </c>
      <c r="C243">
        <v>4.5990000000000002</v>
      </c>
      <c r="D243">
        <v>24.236999999999998</v>
      </c>
      <c r="E243">
        <v>4.24E-2</v>
      </c>
      <c r="F243">
        <v>500</v>
      </c>
    </row>
    <row r="244" spans="1:6" x14ac:dyDescent="0.3">
      <c r="A244" t="s">
        <v>245</v>
      </c>
      <c r="B244">
        <v>408007.72</v>
      </c>
      <c r="C244">
        <v>9.5616000000000003</v>
      </c>
      <c r="D244">
        <v>108.8137</v>
      </c>
      <c r="E244">
        <v>9.3399999999999997E-2</v>
      </c>
      <c r="F244">
        <v>5000</v>
      </c>
    </row>
    <row r="245" spans="1:6" x14ac:dyDescent="0.3">
      <c r="A245" t="s">
        <v>246</v>
      </c>
      <c r="B245">
        <v>3835.99</v>
      </c>
      <c r="C245">
        <v>10.2384</v>
      </c>
      <c r="D245">
        <v>127.833</v>
      </c>
      <c r="E245">
        <v>9.4100000000000003E-2</v>
      </c>
      <c r="F245">
        <v>50</v>
      </c>
    </row>
    <row r="246" spans="1:6" x14ac:dyDescent="0.3">
      <c r="A246" t="s">
        <v>247</v>
      </c>
      <c r="B246">
        <v>8294.06</v>
      </c>
      <c r="C246">
        <v>0.97289999999999999</v>
      </c>
      <c r="D246">
        <v>1.4274</v>
      </c>
      <c r="E246">
        <v>9.7000000000000003E-3</v>
      </c>
      <c r="F246">
        <v>100</v>
      </c>
    </row>
    <row r="247" spans="1:6" x14ac:dyDescent="0.3">
      <c r="A247" t="s">
        <v>248</v>
      </c>
      <c r="B247">
        <v>17080.759999999998</v>
      </c>
      <c r="C247">
        <v>5.2573999999999996</v>
      </c>
      <c r="D247">
        <v>32.229399999999998</v>
      </c>
      <c r="E247">
        <v>5.3800000000000001E-2</v>
      </c>
      <c r="F247">
        <v>200</v>
      </c>
    </row>
    <row r="248" spans="1:6" x14ac:dyDescent="0.3">
      <c r="A248" t="s">
        <v>249</v>
      </c>
      <c r="B248">
        <v>40146.800000000003</v>
      </c>
      <c r="C248">
        <v>1.9283999999999999</v>
      </c>
      <c r="D248">
        <v>4.6981000000000002</v>
      </c>
      <c r="E248">
        <v>1.8499999999999999E-2</v>
      </c>
      <c r="F248">
        <v>500</v>
      </c>
    </row>
    <row r="249" spans="1:6" x14ac:dyDescent="0.3">
      <c r="A249" t="s">
        <v>250</v>
      </c>
      <c r="B249">
        <v>37034.75</v>
      </c>
      <c r="C249">
        <v>10.3843</v>
      </c>
      <c r="D249">
        <v>130.43340000000001</v>
      </c>
      <c r="E249">
        <v>9.2100000000000001E-2</v>
      </c>
      <c r="F249">
        <v>500</v>
      </c>
    </row>
    <row r="250" spans="1:6" x14ac:dyDescent="0.3">
      <c r="A250" t="s">
        <v>251</v>
      </c>
      <c r="B250">
        <v>37482.32</v>
      </c>
      <c r="C250">
        <v>7.3274999999999997</v>
      </c>
      <c r="D250">
        <v>61.762799999999999</v>
      </c>
      <c r="E250">
        <v>6.5799999999999997E-2</v>
      </c>
      <c r="F250">
        <v>500</v>
      </c>
    </row>
    <row r="251" spans="1:6" x14ac:dyDescent="0.3">
      <c r="A251" t="s">
        <v>252</v>
      </c>
      <c r="B251">
        <v>38699.75</v>
      </c>
      <c r="C251">
        <v>6.1329000000000002</v>
      </c>
      <c r="D251">
        <v>43.311900000000001</v>
      </c>
      <c r="E251">
        <v>5.6800000000000003E-2</v>
      </c>
      <c r="F251">
        <v>500</v>
      </c>
    </row>
    <row r="252" spans="1:6" x14ac:dyDescent="0.3">
      <c r="A252" t="s">
        <v>253</v>
      </c>
      <c r="B252">
        <v>52343.31</v>
      </c>
      <c r="C252">
        <v>4.8909000000000002</v>
      </c>
      <c r="D252">
        <v>27.809000000000001</v>
      </c>
      <c r="E252">
        <v>4.87E-2</v>
      </c>
      <c r="F252">
        <v>500</v>
      </c>
    </row>
    <row r="253" spans="1:6" x14ac:dyDescent="0.3">
      <c r="A253" t="s">
        <v>254</v>
      </c>
      <c r="B253">
        <v>3927.12</v>
      </c>
      <c r="C253">
        <v>13.798</v>
      </c>
      <c r="D253">
        <v>221.97470000000001</v>
      </c>
      <c r="E253">
        <v>0.10299999999999999</v>
      </c>
      <c r="F253">
        <v>50</v>
      </c>
    </row>
    <row r="254" spans="1:6" x14ac:dyDescent="0.3">
      <c r="A254" t="s">
        <v>255</v>
      </c>
      <c r="B254">
        <v>8059.37</v>
      </c>
      <c r="C254">
        <v>10.687900000000001</v>
      </c>
      <c r="D254">
        <v>129.94139999999999</v>
      </c>
      <c r="E254">
        <v>8.1900000000000001E-2</v>
      </c>
      <c r="F254">
        <v>100</v>
      </c>
    </row>
    <row r="255" spans="1:6" x14ac:dyDescent="0.3">
      <c r="A255" t="s">
        <v>256</v>
      </c>
      <c r="B255">
        <v>19722.900000000001</v>
      </c>
      <c r="C255">
        <v>3.7183999999999999</v>
      </c>
      <c r="D255">
        <v>16.084399999999999</v>
      </c>
      <c r="E255">
        <v>3.49E-2</v>
      </c>
      <c r="F255">
        <v>200</v>
      </c>
    </row>
    <row r="256" spans="1:6" x14ac:dyDescent="0.3">
      <c r="A256" t="s">
        <v>257</v>
      </c>
      <c r="B256">
        <v>10564.18</v>
      </c>
      <c r="C256">
        <v>2.7839</v>
      </c>
      <c r="D256">
        <v>9.3673000000000002</v>
      </c>
      <c r="E256">
        <v>2.8000000000000001E-2</v>
      </c>
      <c r="F256">
        <v>100</v>
      </c>
    </row>
    <row r="257" spans="1:6" x14ac:dyDescent="0.3">
      <c r="A257" t="s">
        <v>258</v>
      </c>
      <c r="B257">
        <v>512137.8</v>
      </c>
      <c r="C257">
        <v>0.97529999999999994</v>
      </c>
      <c r="D257">
        <v>1.4305000000000001</v>
      </c>
      <c r="E257">
        <v>9.4999999999999998E-3</v>
      </c>
      <c r="F257">
        <v>5000</v>
      </c>
    </row>
    <row r="258" spans="1:6" x14ac:dyDescent="0.3">
      <c r="A258" t="s">
        <v>259</v>
      </c>
      <c r="B258">
        <v>4122.79</v>
      </c>
      <c r="C258">
        <v>7.9249999999999998</v>
      </c>
      <c r="D258">
        <v>68.761099999999999</v>
      </c>
      <c r="E258">
        <v>6.2100000000000002E-2</v>
      </c>
      <c r="F258">
        <v>50</v>
      </c>
    </row>
    <row r="259" spans="1:6" x14ac:dyDescent="0.3">
      <c r="A259" t="s">
        <v>260</v>
      </c>
      <c r="B259">
        <v>5134.8100000000004</v>
      </c>
      <c r="C259">
        <v>6.0206</v>
      </c>
      <c r="D259">
        <v>42.238199999999999</v>
      </c>
      <c r="E259">
        <v>5.8799999999999998E-2</v>
      </c>
      <c r="F259">
        <v>50</v>
      </c>
    </row>
    <row r="260" spans="1:6" x14ac:dyDescent="0.3">
      <c r="A260" t="s">
        <v>261</v>
      </c>
      <c r="B260">
        <v>103504.18</v>
      </c>
      <c r="C260">
        <v>4.92</v>
      </c>
      <c r="D260">
        <v>28.0383</v>
      </c>
      <c r="E260">
        <v>4.8399999999999999E-2</v>
      </c>
      <c r="F260">
        <v>1000</v>
      </c>
    </row>
    <row r="261" spans="1:6" x14ac:dyDescent="0.3">
      <c r="A261" t="s">
        <v>262</v>
      </c>
      <c r="B261">
        <v>523964.38</v>
      </c>
      <c r="C261">
        <v>0.49</v>
      </c>
      <c r="D261">
        <v>0.48010000000000003</v>
      </c>
      <c r="E261">
        <v>4.8999999999999998E-3</v>
      </c>
      <c r="F261">
        <v>5000</v>
      </c>
    </row>
    <row r="262" spans="1:6" x14ac:dyDescent="0.3">
      <c r="A262" t="s">
        <v>263</v>
      </c>
      <c r="B262">
        <v>9032.4699999999993</v>
      </c>
      <c r="C262">
        <v>8.7230000000000008</v>
      </c>
      <c r="D262">
        <v>86.298400000000001</v>
      </c>
      <c r="E262">
        <v>7.4899999999999994E-2</v>
      </c>
      <c r="F262">
        <v>100</v>
      </c>
    </row>
    <row r="263" spans="1:6" x14ac:dyDescent="0.3">
      <c r="A263" t="s">
        <v>264</v>
      </c>
      <c r="B263">
        <v>10369.56</v>
      </c>
      <c r="C263">
        <v>0.49009999999999998</v>
      </c>
      <c r="D263">
        <v>0.4803</v>
      </c>
      <c r="E263">
        <v>4.7999999999999996E-3</v>
      </c>
      <c r="F263">
        <v>100</v>
      </c>
    </row>
    <row r="264" spans="1:6" x14ac:dyDescent="0.3">
      <c r="A264" t="s">
        <v>265</v>
      </c>
      <c r="B264">
        <v>206308.77</v>
      </c>
      <c r="C264">
        <v>0.97219999999999995</v>
      </c>
      <c r="D264">
        <v>1.4236</v>
      </c>
      <c r="E264">
        <v>9.4999999999999998E-3</v>
      </c>
      <c r="F264">
        <v>2000</v>
      </c>
    </row>
    <row r="265" spans="1:6" x14ac:dyDescent="0.3">
      <c r="A265" t="s">
        <v>266</v>
      </c>
      <c r="B265">
        <v>19472.52</v>
      </c>
      <c r="C265">
        <v>14.683299999999999</v>
      </c>
      <c r="D265">
        <v>296.07459999999998</v>
      </c>
      <c r="E265">
        <v>0.13589999999999999</v>
      </c>
      <c r="F265">
        <v>200</v>
      </c>
    </row>
    <row r="266" spans="1:6" x14ac:dyDescent="0.3">
      <c r="A266" t="s">
        <v>267</v>
      </c>
      <c r="B266">
        <v>5288.4</v>
      </c>
      <c r="C266">
        <v>1.4394</v>
      </c>
      <c r="D266">
        <v>2.8022</v>
      </c>
      <c r="E266">
        <v>1.4500000000000001E-2</v>
      </c>
      <c r="F266">
        <v>50</v>
      </c>
    </row>
    <row r="267" spans="1:6" x14ac:dyDescent="0.3">
      <c r="A267" t="s">
        <v>268</v>
      </c>
      <c r="B267">
        <v>16561.919999999998</v>
      </c>
      <c r="C267">
        <v>14.297000000000001</v>
      </c>
      <c r="D267">
        <v>233.65979999999999</v>
      </c>
      <c r="E267">
        <v>0.13039999999999999</v>
      </c>
      <c r="F267">
        <v>200</v>
      </c>
    </row>
    <row r="268" spans="1:6" x14ac:dyDescent="0.3">
      <c r="A268" t="s">
        <v>269</v>
      </c>
      <c r="B268">
        <v>177715.58</v>
      </c>
      <c r="C268">
        <v>3.3203</v>
      </c>
      <c r="D268">
        <v>12.9138</v>
      </c>
      <c r="E268">
        <v>3.2500000000000001E-2</v>
      </c>
      <c r="F268">
        <v>2000</v>
      </c>
    </row>
    <row r="269" spans="1:6" x14ac:dyDescent="0.3">
      <c r="A269" t="s">
        <v>270</v>
      </c>
      <c r="B269">
        <v>4494.6000000000004</v>
      </c>
      <c r="C269">
        <v>2.3976000000000002</v>
      </c>
      <c r="D269">
        <v>7.0202999999999998</v>
      </c>
      <c r="E269">
        <v>2.3699999999999999E-2</v>
      </c>
      <c r="F269">
        <v>50</v>
      </c>
    </row>
    <row r="270" spans="1:6" x14ac:dyDescent="0.3">
      <c r="A270" t="s">
        <v>271</v>
      </c>
      <c r="B270">
        <v>36959.230000000003</v>
      </c>
      <c r="C270">
        <v>10.737</v>
      </c>
      <c r="D270">
        <v>124.801</v>
      </c>
      <c r="E270">
        <v>8.7400000000000005E-2</v>
      </c>
      <c r="F270">
        <v>500</v>
      </c>
    </row>
    <row r="271" spans="1:6" x14ac:dyDescent="0.3">
      <c r="A271" t="s">
        <v>272</v>
      </c>
      <c r="B271">
        <v>88867.78</v>
      </c>
      <c r="C271">
        <v>10.7385</v>
      </c>
      <c r="D271">
        <v>131.3032</v>
      </c>
      <c r="E271">
        <v>0.1051</v>
      </c>
      <c r="F271">
        <v>1000</v>
      </c>
    </row>
    <row r="272" spans="1:6" x14ac:dyDescent="0.3">
      <c r="A272" t="s">
        <v>273</v>
      </c>
      <c r="B272">
        <v>174283.34</v>
      </c>
      <c r="C272">
        <v>2.4375</v>
      </c>
      <c r="D272">
        <v>7.1840999999999999</v>
      </c>
      <c r="E272">
        <v>2.3400000000000001E-2</v>
      </c>
      <c r="F272">
        <v>2000</v>
      </c>
    </row>
    <row r="273" spans="1:6" x14ac:dyDescent="0.3">
      <c r="A273" t="s">
        <v>274</v>
      </c>
      <c r="B273">
        <v>90192.55</v>
      </c>
      <c r="C273">
        <v>7.4561999999999999</v>
      </c>
      <c r="D273">
        <v>63.490400000000001</v>
      </c>
      <c r="E273">
        <v>7.4099999999999999E-2</v>
      </c>
      <c r="F273">
        <v>1000</v>
      </c>
    </row>
    <row r="274" spans="1:6" x14ac:dyDescent="0.3">
      <c r="A274" t="s">
        <v>275</v>
      </c>
      <c r="B274">
        <v>35677.14</v>
      </c>
      <c r="C274">
        <v>10.9674</v>
      </c>
      <c r="D274">
        <v>128.42310000000001</v>
      </c>
      <c r="E274">
        <v>8.6199999999999999E-2</v>
      </c>
      <c r="F274">
        <v>500</v>
      </c>
    </row>
    <row r="275" spans="1:6" x14ac:dyDescent="0.3">
      <c r="A275" t="s">
        <v>276</v>
      </c>
      <c r="B275">
        <v>4149.5600000000004</v>
      </c>
      <c r="C275">
        <v>12.4207</v>
      </c>
      <c r="D275">
        <v>175.0771</v>
      </c>
      <c r="E275">
        <v>0.1135</v>
      </c>
      <c r="F275">
        <v>50</v>
      </c>
    </row>
    <row r="276" spans="1:6" x14ac:dyDescent="0.3">
      <c r="A276" t="s">
        <v>277</v>
      </c>
      <c r="B276">
        <v>85061.440000000002</v>
      </c>
      <c r="C276">
        <v>12.484500000000001</v>
      </c>
      <c r="D276">
        <v>183.1387</v>
      </c>
      <c r="E276">
        <v>0.11700000000000001</v>
      </c>
      <c r="F276">
        <v>1000</v>
      </c>
    </row>
    <row r="277" spans="1:6" x14ac:dyDescent="0.3">
      <c r="A277" t="s">
        <v>278</v>
      </c>
      <c r="B277">
        <v>137639.18</v>
      </c>
      <c r="C277">
        <v>12.257400000000001</v>
      </c>
      <c r="D277">
        <v>160.80760000000001</v>
      </c>
      <c r="E277">
        <v>9.2899999999999996E-2</v>
      </c>
      <c r="F277">
        <v>2000</v>
      </c>
    </row>
    <row r="278" spans="1:6" x14ac:dyDescent="0.3">
      <c r="A278" t="s">
        <v>279</v>
      </c>
      <c r="B278">
        <v>178652.63</v>
      </c>
      <c r="C278">
        <v>6.2868000000000004</v>
      </c>
      <c r="D278">
        <v>44.979700000000001</v>
      </c>
      <c r="E278">
        <v>6.1800000000000001E-2</v>
      </c>
      <c r="F278">
        <v>2000</v>
      </c>
    </row>
    <row r="279" spans="1:6" x14ac:dyDescent="0.3">
      <c r="A279" t="s">
        <v>280</v>
      </c>
      <c r="B279">
        <v>318540.93</v>
      </c>
      <c r="C279">
        <v>17.0151</v>
      </c>
      <c r="D279">
        <v>317.00170000000003</v>
      </c>
      <c r="E279">
        <v>0.11940000000000001</v>
      </c>
      <c r="F279">
        <v>5000</v>
      </c>
    </row>
    <row r="280" spans="1:6" x14ac:dyDescent="0.3">
      <c r="A280" t="s">
        <v>281</v>
      </c>
      <c r="B280">
        <v>13804.32</v>
      </c>
      <c r="C280">
        <v>21.840199999999999</v>
      </c>
      <c r="D280">
        <v>553.98299999999995</v>
      </c>
      <c r="E280">
        <v>0.16600000000000001</v>
      </c>
      <c r="F280">
        <v>200</v>
      </c>
    </row>
    <row r="281" spans="1:6" x14ac:dyDescent="0.3">
      <c r="A281" t="s">
        <v>282</v>
      </c>
      <c r="B281">
        <v>8505.24</v>
      </c>
      <c r="C281">
        <v>10.5105</v>
      </c>
      <c r="D281">
        <v>124.4404</v>
      </c>
      <c r="E281">
        <v>9.8400000000000001E-2</v>
      </c>
      <c r="F281">
        <v>100</v>
      </c>
    </row>
    <row r="282" spans="1:6" x14ac:dyDescent="0.3">
      <c r="A282" t="s">
        <v>283</v>
      </c>
      <c r="B282">
        <v>27.07</v>
      </c>
      <c r="C282">
        <v>5.4348000000000001</v>
      </c>
      <c r="D282">
        <v>32.3812</v>
      </c>
      <c r="E282">
        <v>5.2499999999999998E-2</v>
      </c>
      <c r="F282">
        <v>50</v>
      </c>
    </row>
    <row r="283" spans="1:6" x14ac:dyDescent="0.3">
      <c r="A283" t="s">
        <v>284</v>
      </c>
      <c r="B283">
        <v>248.14</v>
      </c>
      <c r="C283">
        <v>22.261900000000001</v>
      </c>
      <c r="D283">
        <v>536.65170000000001</v>
      </c>
      <c r="E283">
        <v>0.1973</v>
      </c>
      <c r="F283">
        <v>500</v>
      </c>
    </row>
    <row r="284" spans="1:6" x14ac:dyDescent="0.3">
      <c r="A284" t="s">
        <v>285</v>
      </c>
      <c r="B284">
        <v>54.14</v>
      </c>
      <c r="C284">
        <v>5.8120000000000003</v>
      </c>
      <c r="D284">
        <v>37.197299999999998</v>
      </c>
      <c r="E284">
        <v>5.62E-2</v>
      </c>
      <c r="F284">
        <v>100</v>
      </c>
    </row>
    <row r="285" spans="1:6" x14ac:dyDescent="0.3">
      <c r="A285" t="s">
        <v>286</v>
      </c>
      <c r="B285">
        <v>57.9</v>
      </c>
      <c r="C285">
        <v>12.8378</v>
      </c>
      <c r="D285">
        <v>180.0797</v>
      </c>
      <c r="E285">
        <v>0.13270000000000001</v>
      </c>
      <c r="F285">
        <v>100</v>
      </c>
    </row>
    <row r="286" spans="1:6" x14ac:dyDescent="0.3">
      <c r="A286" t="s">
        <v>287</v>
      </c>
      <c r="B286">
        <v>2687.55</v>
      </c>
      <c r="C286">
        <v>3.4632999999999998</v>
      </c>
      <c r="D286">
        <v>13.739800000000001</v>
      </c>
      <c r="E286">
        <v>3.32E-2</v>
      </c>
      <c r="F286">
        <v>5000</v>
      </c>
    </row>
    <row r="287" spans="1:6" x14ac:dyDescent="0.3">
      <c r="A287" t="s">
        <v>288</v>
      </c>
      <c r="B287">
        <v>558.5</v>
      </c>
      <c r="C287">
        <v>0.4965</v>
      </c>
      <c r="D287">
        <v>0.49299999999999999</v>
      </c>
      <c r="E287">
        <v>5.0000000000000001E-3</v>
      </c>
      <c r="F287">
        <v>1000</v>
      </c>
    </row>
    <row r="288" spans="1:6" x14ac:dyDescent="0.3">
      <c r="A288" t="s">
        <v>289</v>
      </c>
      <c r="B288">
        <v>28.17</v>
      </c>
      <c r="C288">
        <v>6.6597</v>
      </c>
      <c r="D288">
        <v>48.905999999999999</v>
      </c>
      <c r="E288">
        <v>6.7000000000000004E-2</v>
      </c>
      <c r="F288">
        <v>50</v>
      </c>
    </row>
    <row r="289" spans="1:6" x14ac:dyDescent="0.3">
      <c r="A289" t="s">
        <v>290</v>
      </c>
      <c r="B289">
        <v>559.39</v>
      </c>
      <c r="C289">
        <v>0.99250000000000005</v>
      </c>
      <c r="D289">
        <v>1.4797</v>
      </c>
      <c r="E289">
        <v>9.9000000000000008E-3</v>
      </c>
      <c r="F289">
        <v>1000</v>
      </c>
    </row>
    <row r="290" spans="1:6" x14ac:dyDescent="0.3">
      <c r="A290" t="s">
        <v>291</v>
      </c>
      <c r="B290">
        <v>55.34</v>
      </c>
      <c r="C290">
        <v>2.9668999999999999</v>
      </c>
      <c r="D290">
        <v>10.3139</v>
      </c>
      <c r="E290">
        <v>2.93E-2</v>
      </c>
      <c r="F290">
        <v>100</v>
      </c>
    </row>
    <row r="291" spans="1:6" x14ac:dyDescent="0.3">
      <c r="A291" t="s">
        <v>292</v>
      </c>
      <c r="B291">
        <v>59.74</v>
      </c>
      <c r="C291">
        <v>17.5183</v>
      </c>
      <c r="D291">
        <v>336.64190000000002</v>
      </c>
      <c r="E291">
        <v>0.18690000000000001</v>
      </c>
      <c r="F291">
        <v>100</v>
      </c>
    </row>
    <row r="292" spans="1:6" x14ac:dyDescent="0.3">
      <c r="A292" t="s">
        <v>293</v>
      </c>
      <c r="B292">
        <v>269905.75</v>
      </c>
      <c r="C292">
        <v>2.3544999999999998</v>
      </c>
      <c r="D292">
        <v>6.8268000000000004</v>
      </c>
      <c r="E292">
        <v>2.3400000000000001E-2</v>
      </c>
      <c r="F292">
        <v>5000</v>
      </c>
    </row>
    <row r="293" spans="1:6" x14ac:dyDescent="0.3">
      <c r="A293" t="s">
        <v>294</v>
      </c>
      <c r="B293">
        <v>53256.9</v>
      </c>
      <c r="C293">
        <v>4.1212</v>
      </c>
      <c r="D293">
        <v>19.7425</v>
      </c>
      <c r="E293">
        <v>4.0399999999999998E-2</v>
      </c>
      <c r="F293">
        <v>1000</v>
      </c>
    </row>
    <row r="294" spans="1:6" x14ac:dyDescent="0.3">
      <c r="A294" t="s">
        <v>295</v>
      </c>
      <c r="B294">
        <v>105951.79</v>
      </c>
      <c r="C294">
        <v>1.9222999999999999</v>
      </c>
      <c r="D294">
        <v>4.681</v>
      </c>
      <c r="E294">
        <v>1.8800000000000001E-2</v>
      </c>
      <c r="F294">
        <v>2000</v>
      </c>
    </row>
    <row r="295" spans="1:6" x14ac:dyDescent="0.3">
      <c r="A295" t="s">
        <v>296</v>
      </c>
      <c r="B295">
        <v>5405.56</v>
      </c>
      <c r="C295">
        <v>0.48930000000000001</v>
      </c>
      <c r="D295">
        <v>0.4788</v>
      </c>
      <c r="E295">
        <v>4.8999999999999998E-3</v>
      </c>
      <c r="F295">
        <v>100</v>
      </c>
    </row>
    <row r="296" spans="1:6" x14ac:dyDescent="0.3">
      <c r="A296" t="s">
        <v>297</v>
      </c>
      <c r="B296">
        <v>108520.18</v>
      </c>
      <c r="C296">
        <v>0.49020000000000002</v>
      </c>
      <c r="D296">
        <v>0.48049999999999998</v>
      </c>
      <c r="E296">
        <v>4.8999999999999998E-3</v>
      </c>
      <c r="F296">
        <v>2000</v>
      </c>
    </row>
    <row r="297" spans="1:6" x14ac:dyDescent="0.3">
      <c r="A297" t="s">
        <v>298</v>
      </c>
      <c r="B297">
        <v>4938.04</v>
      </c>
      <c r="C297">
        <v>9.7095000000000002</v>
      </c>
      <c r="D297">
        <v>111.1426</v>
      </c>
      <c r="E297">
        <v>8.8300000000000003E-2</v>
      </c>
      <c r="F297">
        <v>100</v>
      </c>
    </row>
    <row r="298" spans="1:6" x14ac:dyDescent="0.3">
      <c r="A298" t="s">
        <v>299</v>
      </c>
      <c r="B298">
        <v>2534.7199999999998</v>
      </c>
      <c r="C298">
        <v>4.1955</v>
      </c>
      <c r="D298">
        <v>20.217600000000001</v>
      </c>
      <c r="E298">
        <v>3.9199999999999999E-2</v>
      </c>
      <c r="F298">
        <v>50</v>
      </c>
    </row>
    <row r="299" spans="1:6" x14ac:dyDescent="0.3">
      <c r="A299" t="s">
        <v>300</v>
      </c>
      <c r="B299">
        <v>54131.13</v>
      </c>
      <c r="C299">
        <v>0.97250000000000003</v>
      </c>
      <c r="D299">
        <v>1.4268000000000001</v>
      </c>
      <c r="E299">
        <v>9.7000000000000003E-3</v>
      </c>
      <c r="F299">
        <v>1000</v>
      </c>
    </row>
    <row r="300" spans="1:6" x14ac:dyDescent="0.3">
      <c r="A300" t="s">
        <v>301</v>
      </c>
      <c r="B300">
        <v>107117.07</v>
      </c>
      <c r="C300">
        <v>0.97160000000000002</v>
      </c>
      <c r="D300">
        <v>1.423</v>
      </c>
      <c r="E300">
        <v>9.5999999999999992E-3</v>
      </c>
      <c r="F300">
        <v>2000</v>
      </c>
    </row>
    <row r="301" spans="1:6" x14ac:dyDescent="0.3">
      <c r="A301" t="s">
        <v>302</v>
      </c>
      <c r="B301">
        <v>52682.95</v>
      </c>
      <c r="C301">
        <v>2.3910999999999998</v>
      </c>
      <c r="D301">
        <v>6.9790000000000001</v>
      </c>
      <c r="E301">
        <v>2.3199999999999998E-2</v>
      </c>
      <c r="F30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0BAF-101E-456E-8A34-12AE5E553031}">
  <dimension ref="B1:E1001"/>
  <sheetViews>
    <sheetView topLeftCell="B1" workbookViewId="0">
      <selection activeCell="G11" sqref="G11"/>
    </sheetView>
  </sheetViews>
  <sheetFormatPr defaultRowHeight="14.4" x14ac:dyDescent="0.3"/>
  <cols>
    <col min="2" max="2" width="13.21875" bestFit="1" customWidth="1"/>
    <col min="4" max="4" width="19" bestFit="1" customWidth="1"/>
    <col min="5" max="5" width="12" bestFit="1" customWidth="1"/>
  </cols>
  <sheetData>
    <row r="1" spans="2:5" x14ac:dyDescent="0.3">
      <c r="B1" t="s">
        <v>319</v>
      </c>
      <c r="D1" t="s">
        <v>320</v>
      </c>
      <c r="E1" t="s">
        <v>321</v>
      </c>
    </row>
    <row r="2" spans="2:5" x14ac:dyDescent="0.3">
      <c r="B2">
        <v>-214494.93524010101</v>
      </c>
      <c r="D2" t="s">
        <v>322</v>
      </c>
      <c r="E2">
        <f>AVERAGE(B2:B1001)</f>
        <v>112252.97740825966</v>
      </c>
    </row>
    <row r="3" spans="2:5" x14ac:dyDescent="0.3">
      <c r="B3">
        <v>-235476.198177268</v>
      </c>
      <c r="D3" t="s">
        <v>323</v>
      </c>
      <c r="E3">
        <f>_xlfn.STDEV.S(B2:B1001)</f>
        <v>1364644.4843071185</v>
      </c>
    </row>
    <row r="4" spans="2:5" x14ac:dyDescent="0.3">
      <c r="B4">
        <v>-59795.190963487003</v>
      </c>
      <c r="D4" t="s">
        <v>324</v>
      </c>
      <c r="E4">
        <f>-_xlfn.PERCENTILE.INC(B2:B1001,0.05)</f>
        <v>2022317.1957600019</v>
      </c>
    </row>
    <row r="5" spans="2:5" x14ac:dyDescent="0.3">
      <c r="B5">
        <v>698733.93661134597</v>
      </c>
      <c r="D5" t="s">
        <v>325</v>
      </c>
      <c r="E5">
        <f>-_xlfn.PERCENTILE.INC(B2:B1001,0.01)</f>
        <v>2819363.9295870969</v>
      </c>
    </row>
    <row r="6" spans="2:5" x14ac:dyDescent="0.3">
      <c r="B6">
        <v>-531879.14311508799</v>
      </c>
      <c r="D6" t="s">
        <v>326</v>
      </c>
      <c r="E6">
        <f>-AVERAGEIF(B2:B1001,"&lt;="&amp;-E4,B2:B1001)</f>
        <v>2506506.3132310226</v>
      </c>
    </row>
    <row r="7" spans="2:5" x14ac:dyDescent="0.3">
      <c r="B7">
        <v>1275251.5946507</v>
      </c>
      <c r="D7" t="s">
        <v>327</v>
      </c>
      <c r="E7">
        <f>-AVERAGEIF(B2:B1001,"&lt;="&amp;-E5,B2:B1001)</f>
        <v>3114519.7301885346</v>
      </c>
    </row>
    <row r="8" spans="2:5" x14ac:dyDescent="0.3">
      <c r="B8">
        <v>-1022161.49623733</v>
      </c>
      <c r="D8" t="s">
        <v>328</v>
      </c>
      <c r="E8">
        <f>1.645*E3</f>
        <v>2244840.1766852099</v>
      </c>
    </row>
    <row r="9" spans="2:5" x14ac:dyDescent="0.3">
      <c r="B9">
        <v>571953.45061350497</v>
      </c>
      <c r="D9" t="s">
        <v>329</v>
      </c>
      <c r="E9">
        <f>2.326*E3</f>
        <v>3174163.0704983575</v>
      </c>
    </row>
    <row r="10" spans="2:5" x14ac:dyDescent="0.3">
      <c r="B10">
        <v>555189.90648186905</v>
      </c>
      <c r="D10" t="s">
        <v>330</v>
      </c>
      <c r="E10" s="1">
        <f>ABS(E4-E8)/E8</f>
        <v>9.9126424783519004E-2</v>
      </c>
    </row>
    <row r="11" spans="2:5" x14ac:dyDescent="0.3">
      <c r="B11">
        <v>-681279.90355285804</v>
      </c>
      <c r="D11" t="s">
        <v>331</v>
      </c>
      <c r="E11" s="1">
        <f>ABS(E5-E9)/E9</f>
        <v>0.1117772253759967</v>
      </c>
    </row>
    <row r="12" spans="2:5" x14ac:dyDescent="0.3">
      <c r="B12">
        <v>-2203093.4140260401</v>
      </c>
    </row>
    <row r="13" spans="2:5" x14ac:dyDescent="0.3">
      <c r="B13">
        <v>642674.11257524602</v>
      </c>
    </row>
    <row r="14" spans="2:5" x14ac:dyDescent="0.3">
      <c r="B14">
        <v>604387.44590090797</v>
      </c>
    </row>
    <row r="15" spans="2:5" x14ac:dyDescent="0.3">
      <c r="B15">
        <v>-1148986.6686283899</v>
      </c>
    </row>
    <row r="16" spans="2:5" x14ac:dyDescent="0.3">
      <c r="B16">
        <v>790157.90742727695</v>
      </c>
    </row>
    <row r="17" spans="2:2" x14ac:dyDescent="0.3">
      <c r="B17">
        <v>-595153.81978936796</v>
      </c>
    </row>
    <row r="18" spans="2:2" x14ac:dyDescent="0.3">
      <c r="B18">
        <v>-922516.86463822098</v>
      </c>
    </row>
    <row r="19" spans="2:2" x14ac:dyDescent="0.3">
      <c r="B19">
        <v>-244684.899802781</v>
      </c>
    </row>
    <row r="20" spans="2:2" x14ac:dyDescent="0.3">
      <c r="B20">
        <v>890414.92286453303</v>
      </c>
    </row>
    <row r="21" spans="2:2" x14ac:dyDescent="0.3">
      <c r="B21">
        <v>-1674097.53086968</v>
      </c>
    </row>
    <row r="22" spans="2:2" x14ac:dyDescent="0.3">
      <c r="B22">
        <v>2441663.1223623101</v>
      </c>
    </row>
    <row r="23" spans="2:2" x14ac:dyDescent="0.3">
      <c r="B23">
        <v>-1114276.9751927101</v>
      </c>
    </row>
    <row r="24" spans="2:2" x14ac:dyDescent="0.3">
      <c r="B24">
        <v>410335.13360731403</v>
      </c>
    </row>
    <row r="25" spans="2:2" x14ac:dyDescent="0.3">
      <c r="B25">
        <v>923011.30492932</v>
      </c>
    </row>
    <row r="26" spans="2:2" x14ac:dyDescent="0.3">
      <c r="B26">
        <v>1057959.1014233199</v>
      </c>
    </row>
    <row r="27" spans="2:2" x14ac:dyDescent="0.3">
      <c r="B27">
        <v>-752902.78149978002</v>
      </c>
    </row>
    <row r="28" spans="2:2" x14ac:dyDescent="0.3">
      <c r="B28">
        <v>-775512.27066633699</v>
      </c>
    </row>
    <row r="29" spans="2:2" x14ac:dyDescent="0.3">
      <c r="B29">
        <v>1090531.0429431701</v>
      </c>
    </row>
    <row r="30" spans="2:2" x14ac:dyDescent="0.3">
      <c r="B30">
        <v>1608312.6672338699</v>
      </c>
    </row>
    <row r="31" spans="2:2" x14ac:dyDescent="0.3">
      <c r="B31">
        <v>-263516.17388626997</v>
      </c>
    </row>
    <row r="32" spans="2:2" x14ac:dyDescent="0.3">
      <c r="B32">
        <v>-705420.13062728499</v>
      </c>
    </row>
    <row r="33" spans="2:2" x14ac:dyDescent="0.3">
      <c r="B33">
        <v>986260.60612330702</v>
      </c>
    </row>
    <row r="34" spans="2:2" x14ac:dyDescent="0.3">
      <c r="B34">
        <v>2055285.2174064401</v>
      </c>
    </row>
    <row r="35" spans="2:2" x14ac:dyDescent="0.3">
      <c r="B35">
        <v>1039675.92383569</v>
      </c>
    </row>
    <row r="36" spans="2:2" x14ac:dyDescent="0.3">
      <c r="B36">
        <v>453012.90898445202</v>
      </c>
    </row>
    <row r="37" spans="2:2" x14ac:dyDescent="0.3">
      <c r="B37">
        <v>650339.47976486897</v>
      </c>
    </row>
    <row r="38" spans="2:2" x14ac:dyDescent="0.3">
      <c r="B38">
        <v>-560424.24426925101</v>
      </c>
    </row>
    <row r="39" spans="2:2" x14ac:dyDescent="0.3">
      <c r="B39">
        <v>207017.29511262901</v>
      </c>
    </row>
    <row r="40" spans="2:2" x14ac:dyDescent="0.3">
      <c r="B40">
        <v>24399.128400949499</v>
      </c>
    </row>
    <row r="41" spans="2:2" x14ac:dyDescent="0.3">
      <c r="B41">
        <v>-462754.846809529</v>
      </c>
    </row>
    <row r="42" spans="2:2" x14ac:dyDescent="0.3">
      <c r="B42">
        <v>1286704.66604615</v>
      </c>
    </row>
    <row r="43" spans="2:2" x14ac:dyDescent="0.3">
      <c r="B43">
        <v>-1942188.1653319099</v>
      </c>
    </row>
    <row r="44" spans="2:2" x14ac:dyDescent="0.3">
      <c r="B44">
        <v>-1221268.19666708</v>
      </c>
    </row>
    <row r="45" spans="2:2" x14ac:dyDescent="0.3">
      <c r="B45">
        <v>1715624.0983974</v>
      </c>
    </row>
    <row r="46" spans="2:2" x14ac:dyDescent="0.3">
      <c r="B46">
        <v>-405805.68079164001</v>
      </c>
    </row>
    <row r="47" spans="2:2" x14ac:dyDescent="0.3">
      <c r="B47">
        <v>1086594.6076766001</v>
      </c>
    </row>
    <row r="48" spans="2:2" x14ac:dyDescent="0.3">
      <c r="B48">
        <v>-3208136.75075085</v>
      </c>
    </row>
    <row r="49" spans="2:2" x14ac:dyDescent="0.3">
      <c r="B49">
        <v>1984540.5946881</v>
      </c>
    </row>
    <row r="50" spans="2:2" x14ac:dyDescent="0.3">
      <c r="B50">
        <v>1374751.91355859</v>
      </c>
    </row>
    <row r="51" spans="2:2" x14ac:dyDescent="0.3">
      <c r="B51">
        <v>-179651.35335437101</v>
      </c>
    </row>
    <row r="52" spans="2:2" x14ac:dyDescent="0.3">
      <c r="B52">
        <v>925572.65594546194</v>
      </c>
    </row>
    <row r="53" spans="2:2" x14ac:dyDescent="0.3">
      <c r="B53">
        <v>259810.40548876699</v>
      </c>
    </row>
    <row r="54" spans="2:2" x14ac:dyDescent="0.3">
      <c r="B54">
        <v>-360616.08829437499</v>
      </c>
    </row>
    <row r="55" spans="2:2" x14ac:dyDescent="0.3">
      <c r="B55">
        <v>2120831.7463289299</v>
      </c>
    </row>
    <row r="56" spans="2:2" x14ac:dyDescent="0.3">
      <c r="B56">
        <v>-2302548.5208491702</v>
      </c>
    </row>
    <row r="57" spans="2:2" x14ac:dyDescent="0.3">
      <c r="B57">
        <v>844744.93231647799</v>
      </c>
    </row>
    <row r="58" spans="2:2" x14ac:dyDescent="0.3">
      <c r="B58">
        <v>364417.31374914403</v>
      </c>
    </row>
    <row r="59" spans="2:2" x14ac:dyDescent="0.3">
      <c r="B59">
        <v>-150593.21756713299</v>
      </c>
    </row>
    <row r="60" spans="2:2" x14ac:dyDescent="0.3">
      <c r="B60">
        <v>1330355.46389455</v>
      </c>
    </row>
    <row r="61" spans="2:2" x14ac:dyDescent="0.3">
      <c r="B61">
        <v>-229258.77870928601</v>
      </c>
    </row>
    <row r="62" spans="2:2" x14ac:dyDescent="0.3">
      <c r="B62">
        <v>-1545992.5310122799</v>
      </c>
    </row>
    <row r="63" spans="2:2" x14ac:dyDescent="0.3">
      <c r="B63">
        <v>-1770235.8732610701</v>
      </c>
    </row>
    <row r="64" spans="2:2" x14ac:dyDescent="0.3">
      <c r="B64">
        <v>467514.04979138903</v>
      </c>
    </row>
    <row r="65" spans="2:2" x14ac:dyDescent="0.3">
      <c r="B65">
        <v>-2414399.1538404999</v>
      </c>
    </row>
    <row r="66" spans="2:2" x14ac:dyDescent="0.3">
      <c r="B66">
        <v>310326.92621164903</v>
      </c>
    </row>
    <row r="67" spans="2:2" x14ac:dyDescent="0.3">
      <c r="B67">
        <v>1105406.9262522501</v>
      </c>
    </row>
    <row r="68" spans="2:2" x14ac:dyDescent="0.3">
      <c r="B68">
        <v>-16463.7474797873</v>
      </c>
    </row>
    <row r="69" spans="2:2" x14ac:dyDescent="0.3">
      <c r="B69">
        <v>-1821617.86454894</v>
      </c>
    </row>
    <row r="70" spans="2:2" x14ac:dyDescent="0.3">
      <c r="B70">
        <v>3186838.9355721902</v>
      </c>
    </row>
    <row r="71" spans="2:2" x14ac:dyDescent="0.3">
      <c r="B71">
        <v>2044823.3493151499</v>
      </c>
    </row>
    <row r="72" spans="2:2" x14ac:dyDescent="0.3">
      <c r="B72">
        <v>-697810.67848573904</v>
      </c>
    </row>
    <row r="73" spans="2:2" x14ac:dyDescent="0.3">
      <c r="B73">
        <v>515243.38022196799</v>
      </c>
    </row>
    <row r="74" spans="2:2" x14ac:dyDescent="0.3">
      <c r="B74">
        <v>-1048214.76371116</v>
      </c>
    </row>
    <row r="75" spans="2:2" x14ac:dyDescent="0.3">
      <c r="B75">
        <v>946444.44674958498</v>
      </c>
    </row>
    <row r="76" spans="2:2" x14ac:dyDescent="0.3">
      <c r="B76">
        <v>103442.199298094</v>
      </c>
    </row>
    <row r="77" spans="2:2" x14ac:dyDescent="0.3">
      <c r="B77">
        <v>-1427053.4572243099</v>
      </c>
    </row>
    <row r="78" spans="2:2" x14ac:dyDescent="0.3">
      <c r="B78">
        <v>1597681.7238171401</v>
      </c>
    </row>
    <row r="79" spans="2:2" x14ac:dyDescent="0.3">
      <c r="B79">
        <v>411681.52861321397</v>
      </c>
    </row>
    <row r="80" spans="2:2" x14ac:dyDescent="0.3">
      <c r="B80">
        <v>1706405.2140207</v>
      </c>
    </row>
    <row r="81" spans="2:2" x14ac:dyDescent="0.3">
      <c r="B81">
        <v>674320.37345677405</v>
      </c>
    </row>
    <row r="82" spans="2:2" x14ac:dyDescent="0.3">
      <c r="B82">
        <v>1641836.3714372599</v>
      </c>
    </row>
    <row r="83" spans="2:2" x14ac:dyDescent="0.3">
      <c r="B83">
        <v>1723332.1265128001</v>
      </c>
    </row>
    <row r="84" spans="2:2" x14ac:dyDescent="0.3">
      <c r="B84">
        <v>272154.699624817</v>
      </c>
    </row>
    <row r="85" spans="2:2" x14ac:dyDescent="0.3">
      <c r="B85">
        <v>1644358.4684882001</v>
      </c>
    </row>
    <row r="86" spans="2:2" x14ac:dyDescent="0.3">
      <c r="B86">
        <v>-1647339.5562458001</v>
      </c>
    </row>
    <row r="87" spans="2:2" x14ac:dyDescent="0.3">
      <c r="B87">
        <v>-1015240.71640547</v>
      </c>
    </row>
    <row r="88" spans="2:2" x14ac:dyDescent="0.3">
      <c r="B88">
        <v>673301.95098073699</v>
      </c>
    </row>
    <row r="89" spans="2:2" x14ac:dyDescent="0.3">
      <c r="B89">
        <v>401901.448334702</v>
      </c>
    </row>
    <row r="90" spans="2:2" x14ac:dyDescent="0.3">
      <c r="B90">
        <v>-935239.84801409498</v>
      </c>
    </row>
    <row r="91" spans="2:2" x14ac:dyDescent="0.3">
      <c r="B91">
        <v>-461021.150527719</v>
      </c>
    </row>
    <row r="92" spans="2:2" x14ac:dyDescent="0.3">
      <c r="B92">
        <v>891826.91727933194</v>
      </c>
    </row>
    <row r="93" spans="2:2" x14ac:dyDescent="0.3">
      <c r="B93">
        <v>-2920281.19952776</v>
      </c>
    </row>
    <row r="94" spans="2:2" x14ac:dyDescent="0.3">
      <c r="B94">
        <v>1103813.52713748</v>
      </c>
    </row>
    <row r="95" spans="2:2" x14ac:dyDescent="0.3">
      <c r="B95">
        <v>-101083.79195081801</v>
      </c>
    </row>
    <row r="96" spans="2:2" x14ac:dyDescent="0.3">
      <c r="B96">
        <v>-1046002.15830067</v>
      </c>
    </row>
    <row r="97" spans="2:2" x14ac:dyDescent="0.3">
      <c r="B97">
        <v>529365.81189189595</v>
      </c>
    </row>
    <row r="98" spans="2:2" x14ac:dyDescent="0.3">
      <c r="B98">
        <v>472865.30503748299</v>
      </c>
    </row>
    <row r="99" spans="2:2" x14ac:dyDescent="0.3">
      <c r="B99">
        <v>-77776.527386861402</v>
      </c>
    </row>
    <row r="100" spans="2:2" x14ac:dyDescent="0.3">
      <c r="B100">
        <v>187491.263016065</v>
      </c>
    </row>
    <row r="101" spans="2:2" x14ac:dyDescent="0.3">
      <c r="B101">
        <v>987099.06506332499</v>
      </c>
    </row>
    <row r="102" spans="2:2" x14ac:dyDescent="0.3">
      <c r="B102">
        <v>-1677122.1920057801</v>
      </c>
    </row>
    <row r="103" spans="2:2" x14ac:dyDescent="0.3">
      <c r="B103">
        <v>692892.48423140799</v>
      </c>
    </row>
    <row r="104" spans="2:2" x14ac:dyDescent="0.3">
      <c r="B104">
        <v>-88860.417966921406</v>
      </c>
    </row>
    <row r="105" spans="2:2" x14ac:dyDescent="0.3">
      <c r="B105">
        <v>-2453054.7929787701</v>
      </c>
    </row>
    <row r="106" spans="2:2" x14ac:dyDescent="0.3">
      <c r="B106">
        <v>-2314480.2662213701</v>
      </c>
    </row>
    <row r="107" spans="2:2" x14ac:dyDescent="0.3">
      <c r="B107">
        <v>527026.26918789104</v>
      </c>
    </row>
    <row r="108" spans="2:2" x14ac:dyDescent="0.3">
      <c r="B108">
        <v>-984576.23097316094</v>
      </c>
    </row>
    <row r="109" spans="2:2" x14ac:dyDescent="0.3">
      <c r="B109">
        <v>-276586.27267091</v>
      </c>
    </row>
    <row r="110" spans="2:2" x14ac:dyDescent="0.3">
      <c r="B110">
        <v>-2033141.20366582</v>
      </c>
    </row>
    <row r="111" spans="2:2" x14ac:dyDescent="0.3">
      <c r="B111">
        <v>581987.87348474294</v>
      </c>
    </row>
    <row r="112" spans="2:2" x14ac:dyDescent="0.3">
      <c r="B112">
        <v>-1842993.15485092</v>
      </c>
    </row>
    <row r="113" spans="2:2" x14ac:dyDescent="0.3">
      <c r="B113">
        <v>1667377.9455103499</v>
      </c>
    </row>
    <row r="114" spans="2:2" x14ac:dyDescent="0.3">
      <c r="B114">
        <v>533548.82232073497</v>
      </c>
    </row>
    <row r="115" spans="2:2" x14ac:dyDescent="0.3">
      <c r="B115">
        <v>-68712.094322803707</v>
      </c>
    </row>
    <row r="116" spans="2:2" x14ac:dyDescent="0.3">
      <c r="B116">
        <v>-569690.87266130804</v>
      </c>
    </row>
    <row r="117" spans="2:2" x14ac:dyDescent="0.3">
      <c r="B117">
        <v>3006194.0111016599</v>
      </c>
    </row>
    <row r="118" spans="2:2" x14ac:dyDescent="0.3">
      <c r="B118">
        <v>1678487.7451961299</v>
      </c>
    </row>
    <row r="119" spans="2:2" x14ac:dyDescent="0.3">
      <c r="B119">
        <v>-1024196.90957473</v>
      </c>
    </row>
    <row r="120" spans="2:2" x14ac:dyDescent="0.3">
      <c r="B120">
        <v>-1413071.0027226</v>
      </c>
    </row>
    <row r="121" spans="2:2" x14ac:dyDescent="0.3">
      <c r="B121">
        <v>-34564.4832724835</v>
      </c>
    </row>
    <row r="122" spans="2:2" x14ac:dyDescent="0.3">
      <c r="B122">
        <v>-142485.48120290501</v>
      </c>
    </row>
    <row r="123" spans="2:2" x14ac:dyDescent="0.3">
      <c r="B123">
        <v>1132316.08825056</v>
      </c>
    </row>
    <row r="124" spans="2:2" x14ac:dyDescent="0.3">
      <c r="B124">
        <v>1214651.97194313</v>
      </c>
    </row>
    <row r="125" spans="2:2" x14ac:dyDescent="0.3">
      <c r="B125">
        <v>-1308645.8020171099</v>
      </c>
    </row>
    <row r="126" spans="2:2" x14ac:dyDescent="0.3">
      <c r="B126">
        <v>-1421647.6253275</v>
      </c>
    </row>
    <row r="127" spans="2:2" x14ac:dyDescent="0.3">
      <c r="B127">
        <v>-2175059.37519933</v>
      </c>
    </row>
    <row r="128" spans="2:2" x14ac:dyDescent="0.3">
      <c r="B128">
        <v>-1755441.33532805</v>
      </c>
    </row>
    <row r="129" spans="2:2" x14ac:dyDescent="0.3">
      <c r="B129">
        <v>-789249.59741190705</v>
      </c>
    </row>
    <row r="130" spans="2:2" x14ac:dyDescent="0.3">
      <c r="B130">
        <v>2395637.3513191701</v>
      </c>
    </row>
    <row r="131" spans="2:2" x14ac:dyDescent="0.3">
      <c r="B131">
        <v>-439841.77355960099</v>
      </c>
    </row>
    <row r="132" spans="2:2" x14ac:dyDescent="0.3">
      <c r="B132">
        <v>3476530.2245098199</v>
      </c>
    </row>
    <row r="133" spans="2:2" x14ac:dyDescent="0.3">
      <c r="B133">
        <v>-822920.32885800698</v>
      </c>
    </row>
    <row r="134" spans="2:2" x14ac:dyDescent="0.3">
      <c r="B134">
        <v>-1117738.9300328901</v>
      </c>
    </row>
    <row r="135" spans="2:2" x14ac:dyDescent="0.3">
      <c r="B135">
        <v>955226.12822709302</v>
      </c>
    </row>
    <row r="136" spans="2:2" x14ac:dyDescent="0.3">
      <c r="B136">
        <v>-990902.26022125594</v>
      </c>
    </row>
    <row r="137" spans="2:2" x14ac:dyDescent="0.3">
      <c r="B137">
        <v>198311.30762929501</v>
      </c>
    </row>
    <row r="138" spans="2:2" x14ac:dyDescent="0.3">
      <c r="B138">
        <v>3675325.78831416</v>
      </c>
    </row>
    <row r="139" spans="2:2" x14ac:dyDescent="0.3">
      <c r="B139">
        <v>3425079.2047739602</v>
      </c>
    </row>
    <row r="140" spans="2:2" x14ac:dyDescent="0.3">
      <c r="B140">
        <v>67190.409124364902</v>
      </c>
    </row>
    <row r="141" spans="2:2" x14ac:dyDescent="0.3">
      <c r="B141">
        <v>-1822175.5385749801</v>
      </c>
    </row>
    <row r="142" spans="2:2" x14ac:dyDescent="0.3">
      <c r="B142">
        <v>282405.75055930502</v>
      </c>
    </row>
    <row r="143" spans="2:2" x14ac:dyDescent="0.3">
      <c r="B143">
        <v>2445109.8735621399</v>
      </c>
    </row>
    <row r="144" spans="2:2" x14ac:dyDescent="0.3">
      <c r="B144">
        <v>-1225672.2823127001</v>
      </c>
    </row>
    <row r="145" spans="2:2" x14ac:dyDescent="0.3">
      <c r="B145">
        <v>-263240.48120900698</v>
      </c>
    </row>
    <row r="146" spans="2:2" x14ac:dyDescent="0.3">
      <c r="B146">
        <v>558409.71924302401</v>
      </c>
    </row>
    <row r="147" spans="2:2" x14ac:dyDescent="0.3">
      <c r="B147">
        <v>1229798.2737636899</v>
      </c>
    </row>
    <row r="148" spans="2:2" x14ac:dyDescent="0.3">
      <c r="B148">
        <v>785112.97285221901</v>
      </c>
    </row>
    <row r="149" spans="2:2" x14ac:dyDescent="0.3">
      <c r="B149">
        <v>-807632.95462572097</v>
      </c>
    </row>
    <row r="150" spans="2:2" x14ac:dyDescent="0.3">
      <c r="B150">
        <v>685225.80203338596</v>
      </c>
    </row>
    <row r="151" spans="2:2" x14ac:dyDescent="0.3">
      <c r="B151">
        <v>6737.2558000642102</v>
      </c>
    </row>
    <row r="152" spans="2:2" x14ac:dyDescent="0.3">
      <c r="B152">
        <v>-365488.51021377102</v>
      </c>
    </row>
    <row r="153" spans="2:2" x14ac:dyDescent="0.3">
      <c r="B153">
        <v>-2411947.3204903002</v>
      </c>
    </row>
    <row r="154" spans="2:2" x14ac:dyDescent="0.3">
      <c r="B154">
        <v>-1099949.7613739299</v>
      </c>
    </row>
    <row r="155" spans="2:2" x14ac:dyDescent="0.3">
      <c r="B155">
        <v>121020.20606456599</v>
      </c>
    </row>
    <row r="156" spans="2:2" x14ac:dyDescent="0.3">
      <c r="B156">
        <v>3207588.99048681</v>
      </c>
    </row>
    <row r="157" spans="2:2" x14ac:dyDescent="0.3">
      <c r="B157">
        <v>260377.15600231601</v>
      </c>
    </row>
    <row r="158" spans="2:2" x14ac:dyDescent="0.3">
      <c r="B158">
        <v>-1098538.32304646</v>
      </c>
    </row>
    <row r="159" spans="2:2" x14ac:dyDescent="0.3">
      <c r="B159">
        <v>584387.45842968195</v>
      </c>
    </row>
    <row r="160" spans="2:2" x14ac:dyDescent="0.3">
      <c r="B160">
        <v>-884135.26246330596</v>
      </c>
    </row>
    <row r="161" spans="2:2" x14ac:dyDescent="0.3">
      <c r="B161">
        <v>948234.52275143098</v>
      </c>
    </row>
    <row r="162" spans="2:2" x14ac:dyDescent="0.3">
      <c r="B162">
        <v>-740161.77116453298</v>
      </c>
    </row>
    <row r="163" spans="2:2" x14ac:dyDescent="0.3">
      <c r="B163">
        <v>-670109.41955331003</v>
      </c>
    </row>
    <row r="164" spans="2:2" x14ac:dyDescent="0.3">
      <c r="B164">
        <v>1116490.4020460199</v>
      </c>
    </row>
    <row r="165" spans="2:2" x14ac:dyDescent="0.3">
      <c r="B165">
        <v>-1233379.21681646</v>
      </c>
    </row>
    <row r="166" spans="2:2" x14ac:dyDescent="0.3">
      <c r="B166">
        <v>303263.831098189</v>
      </c>
    </row>
    <row r="167" spans="2:2" x14ac:dyDescent="0.3">
      <c r="B167">
        <v>-475077.79986000201</v>
      </c>
    </row>
    <row r="168" spans="2:2" x14ac:dyDescent="0.3">
      <c r="B168">
        <v>2989385.8861251702</v>
      </c>
    </row>
    <row r="169" spans="2:2" x14ac:dyDescent="0.3">
      <c r="B169">
        <v>-551552.17420118698</v>
      </c>
    </row>
    <row r="170" spans="2:2" x14ac:dyDescent="0.3">
      <c r="B170">
        <v>3975382.2848995202</v>
      </c>
    </row>
    <row r="171" spans="2:2" x14ac:dyDescent="0.3">
      <c r="B171">
        <v>-468131.03453561099</v>
      </c>
    </row>
    <row r="172" spans="2:2" x14ac:dyDescent="0.3">
      <c r="B172">
        <v>2259808.8948693299</v>
      </c>
    </row>
    <row r="173" spans="2:2" x14ac:dyDescent="0.3">
      <c r="B173">
        <v>-209022.93117126901</v>
      </c>
    </row>
    <row r="174" spans="2:2" x14ac:dyDescent="0.3">
      <c r="B174">
        <v>-796642.17075887998</v>
      </c>
    </row>
    <row r="175" spans="2:2" x14ac:dyDescent="0.3">
      <c r="B175">
        <v>-1422779.6883563499</v>
      </c>
    </row>
    <row r="176" spans="2:2" x14ac:dyDescent="0.3">
      <c r="B176">
        <v>-1802331.0710267001</v>
      </c>
    </row>
    <row r="177" spans="2:2" x14ac:dyDescent="0.3">
      <c r="B177">
        <v>110819.009087656</v>
      </c>
    </row>
    <row r="178" spans="2:2" x14ac:dyDescent="0.3">
      <c r="B178">
        <v>-726206.59951711097</v>
      </c>
    </row>
    <row r="179" spans="2:2" x14ac:dyDescent="0.3">
      <c r="B179">
        <v>1312377.4323174199</v>
      </c>
    </row>
    <row r="180" spans="2:2" x14ac:dyDescent="0.3">
      <c r="B180">
        <v>2133835.72580588</v>
      </c>
    </row>
    <row r="181" spans="2:2" x14ac:dyDescent="0.3">
      <c r="B181">
        <v>-431605.30481395702</v>
      </c>
    </row>
    <row r="182" spans="2:2" x14ac:dyDescent="0.3">
      <c r="B182">
        <v>2584546.28496591</v>
      </c>
    </row>
    <row r="183" spans="2:2" x14ac:dyDescent="0.3">
      <c r="B183">
        <v>349462.79238662397</v>
      </c>
    </row>
    <row r="184" spans="2:2" x14ac:dyDescent="0.3">
      <c r="B184">
        <v>-89799.466231462298</v>
      </c>
    </row>
    <row r="185" spans="2:2" x14ac:dyDescent="0.3">
      <c r="B185">
        <v>-1056766.07975789</v>
      </c>
    </row>
    <row r="186" spans="2:2" x14ac:dyDescent="0.3">
      <c r="B186">
        <v>-969118.40590305603</v>
      </c>
    </row>
    <row r="187" spans="2:2" x14ac:dyDescent="0.3">
      <c r="B187">
        <v>882543.917998394</v>
      </c>
    </row>
    <row r="188" spans="2:2" x14ac:dyDescent="0.3">
      <c r="B188">
        <v>2020809.1332845199</v>
      </c>
    </row>
    <row r="189" spans="2:2" x14ac:dyDescent="0.3">
      <c r="B189">
        <v>-273005.57543946302</v>
      </c>
    </row>
    <row r="190" spans="2:2" x14ac:dyDescent="0.3">
      <c r="B190">
        <v>-1296812.16583571</v>
      </c>
    </row>
    <row r="191" spans="2:2" x14ac:dyDescent="0.3">
      <c r="B191">
        <v>658270.16040431301</v>
      </c>
    </row>
    <row r="192" spans="2:2" x14ac:dyDescent="0.3">
      <c r="B192">
        <v>1976352.8937792999</v>
      </c>
    </row>
    <row r="193" spans="2:2" x14ac:dyDescent="0.3">
      <c r="B193">
        <v>1510094.73125063</v>
      </c>
    </row>
    <row r="194" spans="2:2" x14ac:dyDescent="0.3">
      <c r="B194">
        <v>-1923133.80710134</v>
      </c>
    </row>
    <row r="195" spans="2:2" x14ac:dyDescent="0.3">
      <c r="B195">
        <v>594866.06753498304</v>
      </c>
    </row>
    <row r="196" spans="2:2" x14ac:dyDescent="0.3">
      <c r="B196">
        <v>567182.88824964303</v>
      </c>
    </row>
    <row r="197" spans="2:2" x14ac:dyDescent="0.3">
      <c r="B197">
        <v>-1748016.6055397801</v>
      </c>
    </row>
    <row r="198" spans="2:2" x14ac:dyDescent="0.3">
      <c r="B198">
        <v>-525127.38853564998</v>
      </c>
    </row>
    <row r="199" spans="2:2" x14ac:dyDescent="0.3">
      <c r="B199">
        <v>-510662.018683284</v>
      </c>
    </row>
    <row r="200" spans="2:2" x14ac:dyDescent="0.3">
      <c r="B200">
        <v>2035390.4068803999</v>
      </c>
    </row>
    <row r="201" spans="2:2" x14ac:dyDescent="0.3">
      <c r="B201">
        <v>-703365.55583295505</v>
      </c>
    </row>
    <row r="202" spans="2:2" x14ac:dyDescent="0.3">
      <c r="B202">
        <v>-729246.63340330299</v>
      </c>
    </row>
    <row r="203" spans="2:2" x14ac:dyDescent="0.3">
      <c r="B203">
        <v>914564.502205097</v>
      </c>
    </row>
    <row r="204" spans="2:2" x14ac:dyDescent="0.3">
      <c r="B204">
        <v>-727188.35774841195</v>
      </c>
    </row>
    <row r="205" spans="2:2" x14ac:dyDescent="0.3">
      <c r="B205">
        <v>-390582.08314133697</v>
      </c>
    </row>
    <row r="206" spans="2:2" x14ac:dyDescent="0.3">
      <c r="B206">
        <v>2044658.3516891301</v>
      </c>
    </row>
    <row r="207" spans="2:2" x14ac:dyDescent="0.3">
      <c r="B207">
        <v>1492689.73983169</v>
      </c>
    </row>
    <row r="208" spans="2:2" x14ac:dyDescent="0.3">
      <c r="B208">
        <v>477131.34700646799</v>
      </c>
    </row>
    <row r="209" spans="2:2" x14ac:dyDescent="0.3">
      <c r="B209">
        <v>11798.1737363717</v>
      </c>
    </row>
    <row r="210" spans="2:2" x14ac:dyDescent="0.3">
      <c r="B210">
        <v>-333243.02837363898</v>
      </c>
    </row>
    <row r="211" spans="2:2" x14ac:dyDescent="0.3">
      <c r="B211">
        <v>-797130.60721721698</v>
      </c>
    </row>
    <row r="212" spans="2:2" x14ac:dyDescent="0.3">
      <c r="B212">
        <v>-2565649.2208011202</v>
      </c>
    </row>
    <row r="213" spans="2:2" x14ac:dyDescent="0.3">
      <c r="B213">
        <v>2944222.2753546201</v>
      </c>
    </row>
    <row r="214" spans="2:2" x14ac:dyDescent="0.3">
      <c r="B214">
        <v>474797.58812252001</v>
      </c>
    </row>
    <row r="215" spans="2:2" x14ac:dyDescent="0.3">
      <c r="B215">
        <v>-321176.21716560499</v>
      </c>
    </row>
    <row r="216" spans="2:2" x14ac:dyDescent="0.3">
      <c r="B216">
        <v>-2329277.0914312098</v>
      </c>
    </row>
    <row r="217" spans="2:2" x14ac:dyDescent="0.3">
      <c r="B217">
        <v>384971.94037593901</v>
      </c>
    </row>
    <row r="218" spans="2:2" x14ac:dyDescent="0.3">
      <c r="B218">
        <v>-483854.14963696297</v>
      </c>
    </row>
    <row r="219" spans="2:2" x14ac:dyDescent="0.3">
      <c r="B219">
        <v>-33683.4621932269</v>
      </c>
    </row>
    <row r="220" spans="2:2" x14ac:dyDescent="0.3">
      <c r="B220">
        <v>-647703.81914340705</v>
      </c>
    </row>
    <row r="221" spans="2:2" x14ac:dyDescent="0.3">
      <c r="B221">
        <v>-527876.03082546196</v>
      </c>
    </row>
    <row r="222" spans="2:2" x14ac:dyDescent="0.3">
      <c r="B222">
        <v>2626553.21692139</v>
      </c>
    </row>
    <row r="223" spans="2:2" x14ac:dyDescent="0.3">
      <c r="B223">
        <v>870882.53755253297</v>
      </c>
    </row>
    <row r="224" spans="2:2" x14ac:dyDescent="0.3">
      <c r="B224">
        <v>2254376.2942468398</v>
      </c>
    </row>
    <row r="225" spans="2:2" x14ac:dyDescent="0.3">
      <c r="B225">
        <v>3469393.3697283599</v>
      </c>
    </row>
    <row r="226" spans="2:2" x14ac:dyDescent="0.3">
      <c r="B226">
        <v>1186436.7650099001</v>
      </c>
    </row>
    <row r="227" spans="2:2" x14ac:dyDescent="0.3">
      <c r="B227">
        <v>-1239328.1633079301</v>
      </c>
    </row>
    <row r="228" spans="2:2" x14ac:dyDescent="0.3">
      <c r="B228">
        <v>-609753.87529726105</v>
      </c>
    </row>
    <row r="229" spans="2:2" x14ac:dyDescent="0.3">
      <c r="B229">
        <v>-1051401.28166743</v>
      </c>
    </row>
    <row r="230" spans="2:2" x14ac:dyDescent="0.3">
      <c r="B230">
        <v>546273.05888758705</v>
      </c>
    </row>
    <row r="231" spans="2:2" x14ac:dyDescent="0.3">
      <c r="B231">
        <v>-1539161.5538444901</v>
      </c>
    </row>
    <row r="232" spans="2:2" x14ac:dyDescent="0.3">
      <c r="B232">
        <v>-523653.95482806099</v>
      </c>
    </row>
    <row r="233" spans="2:2" x14ac:dyDescent="0.3">
      <c r="B233">
        <v>3749720.9271956501</v>
      </c>
    </row>
    <row r="234" spans="2:2" x14ac:dyDescent="0.3">
      <c r="B234">
        <v>3943519.0492425999</v>
      </c>
    </row>
    <row r="235" spans="2:2" x14ac:dyDescent="0.3">
      <c r="B235">
        <v>-25240.767843664398</v>
      </c>
    </row>
    <row r="236" spans="2:2" x14ac:dyDescent="0.3">
      <c r="B236">
        <v>1173720.21654677</v>
      </c>
    </row>
    <row r="237" spans="2:2" x14ac:dyDescent="0.3">
      <c r="B237">
        <v>1485815.53843201</v>
      </c>
    </row>
    <row r="238" spans="2:2" x14ac:dyDescent="0.3">
      <c r="B238">
        <v>91182.888294938093</v>
      </c>
    </row>
    <row r="239" spans="2:2" x14ac:dyDescent="0.3">
      <c r="B239">
        <v>-533853.36032740399</v>
      </c>
    </row>
    <row r="240" spans="2:2" x14ac:dyDescent="0.3">
      <c r="B240">
        <v>1029808.67637537</v>
      </c>
    </row>
    <row r="241" spans="2:2" x14ac:dyDescent="0.3">
      <c r="B241">
        <v>-522417.22769911902</v>
      </c>
    </row>
    <row r="242" spans="2:2" x14ac:dyDescent="0.3">
      <c r="B242">
        <v>291964.55091144302</v>
      </c>
    </row>
    <row r="243" spans="2:2" x14ac:dyDescent="0.3">
      <c r="B243">
        <v>2026348.01474494</v>
      </c>
    </row>
    <row r="244" spans="2:2" x14ac:dyDescent="0.3">
      <c r="B244">
        <v>-348748.85175694199</v>
      </c>
    </row>
    <row r="245" spans="2:2" x14ac:dyDescent="0.3">
      <c r="B245">
        <v>1380603.41144347</v>
      </c>
    </row>
    <row r="246" spans="2:2" x14ac:dyDescent="0.3">
      <c r="B246">
        <v>-684698.47613648302</v>
      </c>
    </row>
    <row r="247" spans="2:2" x14ac:dyDescent="0.3">
      <c r="B247">
        <v>-615648.20633880096</v>
      </c>
    </row>
    <row r="248" spans="2:2" x14ac:dyDescent="0.3">
      <c r="B248">
        <v>2767912.64468983</v>
      </c>
    </row>
    <row r="249" spans="2:2" x14ac:dyDescent="0.3">
      <c r="B249">
        <v>-719122.27810546895</v>
      </c>
    </row>
    <row r="250" spans="2:2" x14ac:dyDescent="0.3">
      <c r="B250">
        <v>-797148.05426342599</v>
      </c>
    </row>
    <row r="251" spans="2:2" x14ac:dyDescent="0.3">
      <c r="B251">
        <v>-336848.90002302203</v>
      </c>
    </row>
    <row r="252" spans="2:2" x14ac:dyDescent="0.3">
      <c r="B252">
        <v>307431.26279384497</v>
      </c>
    </row>
    <row r="253" spans="2:2" x14ac:dyDescent="0.3">
      <c r="B253">
        <v>-3069004.8107426302</v>
      </c>
    </row>
    <row r="254" spans="2:2" x14ac:dyDescent="0.3">
      <c r="B254">
        <v>833517.570587244</v>
      </c>
    </row>
    <row r="255" spans="2:2" x14ac:dyDescent="0.3">
      <c r="B255">
        <v>-1070528.7213552999</v>
      </c>
    </row>
    <row r="256" spans="2:2" x14ac:dyDescent="0.3">
      <c r="B256">
        <v>-1180676.46842616</v>
      </c>
    </row>
    <row r="257" spans="2:2" x14ac:dyDescent="0.3">
      <c r="B257">
        <v>2647932.4786394499</v>
      </c>
    </row>
    <row r="258" spans="2:2" x14ac:dyDescent="0.3">
      <c r="B258">
        <v>845961.257832292</v>
      </c>
    </row>
    <row r="259" spans="2:2" x14ac:dyDescent="0.3">
      <c r="B259">
        <v>-1955291.03350289</v>
      </c>
    </row>
    <row r="260" spans="2:2" x14ac:dyDescent="0.3">
      <c r="B260">
        <v>164781.20164601799</v>
      </c>
    </row>
    <row r="261" spans="2:2" x14ac:dyDescent="0.3">
      <c r="B261">
        <v>-237148.41512022101</v>
      </c>
    </row>
    <row r="262" spans="2:2" x14ac:dyDescent="0.3">
      <c r="B262">
        <v>-301762.85691782302</v>
      </c>
    </row>
    <row r="263" spans="2:2" x14ac:dyDescent="0.3">
      <c r="B263">
        <v>-1148299.74358476</v>
      </c>
    </row>
    <row r="264" spans="2:2" x14ac:dyDescent="0.3">
      <c r="B264">
        <v>249016.770096494</v>
      </c>
    </row>
    <row r="265" spans="2:2" x14ac:dyDescent="0.3">
      <c r="B265">
        <v>720956.39253747906</v>
      </c>
    </row>
    <row r="266" spans="2:2" x14ac:dyDescent="0.3">
      <c r="B266">
        <v>-378437.98720911198</v>
      </c>
    </row>
    <row r="267" spans="2:2" x14ac:dyDescent="0.3">
      <c r="B267">
        <v>-379323.15024117299</v>
      </c>
    </row>
    <row r="268" spans="2:2" x14ac:dyDescent="0.3">
      <c r="B268">
        <v>-1085395.3777142901</v>
      </c>
    </row>
    <row r="269" spans="2:2" x14ac:dyDescent="0.3">
      <c r="B269">
        <v>1283593.8275645999</v>
      </c>
    </row>
    <row r="270" spans="2:2" x14ac:dyDescent="0.3">
      <c r="B270">
        <v>-1848688.82991509</v>
      </c>
    </row>
    <row r="271" spans="2:2" x14ac:dyDescent="0.3">
      <c r="B271">
        <v>1765102.08675319</v>
      </c>
    </row>
    <row r="272" spans="2:2" x14ac:dyDescent="0.3">
      <c r="B272">
        <v>390375.958479352</v>
      </c>
    </row>
    <row r="273" spans="2:2" x14ac:dyDescent="0.3">
      <c r="B273">
        <v>796414.18975390901</v>
      </c>
    </row>
    <row r="274" spans="2:2" x14ac:dyDescent="0.3">
      <c r="B274">
        <v>391232.18325213302</v>
      </c>
    </row>
    <row r="275" spans="2:2" x14ac:dyDescent="0.3">
      <c r="B275">
        <v>1370281.0340740699</v>
      </c>
    </row>
    <row r="276" spans="2:2" x14ac:dyDescent="0.3">
      <c r="B276">
        <v>2765669.9114737799</v>
      </c>
    </row>
    <row r="277" spans="2:2" x14ac:dyDescent="0.3">
      <c r="B277">
        <v>-21185.101920535199</v>
      </c>
    </row>
    <row r="278" spans="2:2" x14ac:dyDescent="0.3">
      <c r="B278">
        <v>-652970.99063572101</v>
      </c>
    </row>
    <row r="279" spans="2:2" x14ac:dyDescent="0.3">
      <c r="B279">
        <v>-1398578.2972689201</v>
      </c>
    </row>
    <row r="280" spans="2:2" x14ac:dyDescent="0.3">
      <c r="B280">
        <v>1377091.2176463001</v>
      </c>
    </row>
    <row r="281" spans="2:2" x14ac:dyDescent="0.3">
      <c r="B281">
        <v>-2179525.9427595199</v>
      </c>
    </row>
    <row r="282" spans="2:2" x14ac:dyDescent="0.3">
      <c r="B282">
        <v>-2518564.4872472798</v>
      </c>
    </row>
    <row r="283" spans="2:2" x14ac:dyDescent="0.3">
      <c r="B283">
        <v>-1372.2506967320401</v>
      </c>
    </row>
    <row r="284" spans="2:2" x14ac:dyDescent="0.3">
      <c r="B284">
        <v>-3504510.78630675</v>
      </c>
    </row>
    <row r="285" spans="2:2" x14ac:dyDescent="0.3">
      <c r="B285">
        <v>-965584.94984094496</v>
      </c>
    </row>
    <row r="286" spans="2:2" x14ac:dyDescent="0.3">
      <c r="B286">
        <v>-1177059.53873819</v>
      </c>
    </row>
    <row r="287" spans="2:2" x14ac:dyDescent="0.3">
      <c r="B287">
        <v>-216320.24517097499</v>
      </c>
    </row>
    <row r="288" spans="2:2" x14ac:dyDescent="0.3">
      <c r="B288">
        <v>2817232.4154851902</v>
      </c>
    </row>
    <row r="289" spans="2:2" x14ac:dyDescent="0.3">
      <c r="B289">
        <v>2008819.90194136</v>
      </c>
    </row>
    <row r="290" spans="2:2" x14ac:dyDescent="0.3">
      <c r="B290">
        <v>987612.20684346999</v>
      </c>
    </row>
    <row r="291" spans="2:2" x14ac:dyDescent="0.3">
      <c r="B291">
        <v>733862.183889376</v>
      </c>
    </row>
    <row r="292" spans="2:2" x14ac:dyDescent="0.3">
      <c r="B292">
        <v>-187443.91809624599</v>
      </c>
    </row>
    <row r="293" spans="2:2" x14ac:dyDescent="0.3">
      <c r="B293">
        <v>986722.30964620796</v>
      </c>
    </row>
    <row r="294" spans="2:2" x14ac:dyDescent="0.3">
      <c r="B294">
        <v>108715.224456931</v>
      </c>
    </row>
    <row r="295" spans="2:2" x14ac:dyDescent="0.3">
      <c r="B295">
        <v>-242289.17296373</v>
      </c>
    </row>
    <row r="296" spans="2:2" x14ac:dyDescent="0.3">
      <c r="B296">
        <v>2172603.0489902198</v>
      </c>
    </row>
    <row r="297" spans="2:2" x14ac:dyDescent="0.3">
      <c r="B297">
        <v>-654992.85363921896</v>
      </c>
    </row>
    <row r="298" spans="2:2" x14ac:dyDescent="0.3">
      <c r="B298">
        <v>4471502.8794414103</v>
      </c>
    </row>
    <row r="299" spans="2:2" x14ac:dyDescent="0.3">
      <c r="B299">
        <v>862432.39822005795</v>
      </c>
    </row>
    <row r="300" spans="2:2" x14ac:dyDescent="0.3">
      <c r="B300">
        <v>238733.865539872</v>
      </c>
    </row>
    <row r="301" spans="2:2" x14ac:dyDescent="0.3">
      <c r="B301">
        <v>1384769.2624872201</v>
      </c>
    </row>
    <row r="302" spans="2:2" x14ac:dyDescent="0.3">
      <c r="B302">
        <v>-491752.70584263798</v>
      </c>
    </row>
    <row r="303" spans="2:2" x14ac:dyDescent="0.3">
      <c r="B303">
        <v>-2052959.30431095</v>
      </c>
    </row>
    <row r="304" spans="2:2" x14ac:dyDescent="0.3">
      <c r="B304">
        <v>691102.38531411497</v>
      </c>
    </row>
    <row r="305" spans="2:2" x14ac:dyDescent="0.3">
      <c r="B305">
        <v>1616544.9825091499</v>
      </c>
    </row>
    <row r="306" spans="2:2" x14ac:dyDescent="0.3">
      <c r="B306">
        <v>-703148.58930801298</v>
      </c>
    </row>
    <row r="307" spans="2:2" x14ac:dyDescent="0.3">
      <c r="B307">
        <v>-1933088.6258175999</v>
      </c>
    </row>
    <row r="308" spans="2:2" x14ac:dyDescent="0.3">
      <c r="B308">
        <v>-944968.67224979901</v>
      </c>
    </row>
    <row r="309" spans="2:2" x14ac:dyDescent="0.3">
      <c r="B309">
        <v>1271472.5225221401</v>
      </c>
    </row>
    <row r="310" spans="2:2" x14ac:dyDescent="0.3">
      <c r="B310">
        <v>-315160.94733197201</v>
      </c>
    </row>
    <row r="311" spans="2:2" x14ac:dyDescent="0.3">
      <c r="B311">
        <v>-463685.30312985397</v>
      </c>
    </row>
    <row r="312" spans="2:2" x14ac:dyDescent="0.3">
      <c r="B312">
        <v>-400988.54856831999</v>
      </c>
    </row>
    <row r="313" spans="2:2" x14ac:dyDescent="0.3">
      <c r="B313">
        <v>-2131659.42757273</v>
      </c>
    </row>
    <row r="314" spans="2:2" x14ac:dyDescent="0.3">
      <c r="B314">
        <v>1380989.1047752299</v>
      </c>
    </row>
    <row r="315" spans="2:2" x14ac:dyDescent="0.3">
      <c r="B315">
        <v>-1306723.1501404501</v>
      </c>
    </row>
    <row r="316" spans="2:2" x14ac:dyDescent="0.3">
      <c r="B316">
        <v>-1042513.85483651</v>
      </c>
    </row>
    <row r="317" spans="2:2" x14ac:dyDescent="0.3">
      <c r="B317">
        <v>1047338.30725862</v>
      </c>
    </row>
    <row r="318" spans="2:2" x14ac:dyDescent="0.3">
      <c r="B318">
        <v>1143224.58475342</v>
      </c>
    </row>
    <row r="319" spans="2:2" x14ac:dyDescent="0.3">
      <c r="B319">
        <v>-466998.04705849598</v>
      </c>
    </row>
    <row r="320" spans="2:2" x14ac:dyDescent="0.3">
      <c r="B320">
        <v>647929.38291954098</v>
      </c>
    </row>
    <row r="321" spans="2:2" x14ac:dyDescent="0.3">
      <c r="B321">
        <v>-2594593.6649487498</v>
      </c>
    </row>
    <row r="322" spans="2:2" x14ac:dyDescent="0.3">
      <c r="B322">
        <v>-1740739.93529938</v>
      </c>
    </row>
    <row r="323" spans="2:2" x14ac:dyDescent="0.3">
      <c r="B323">
        <v>462614.458613567</v>
      </c>
    </row>
    <row r="324" spans="2:2" x14ac:dyDescent="0.3">
      <c r="B324">
        <v>362812.10549764201</v>
      </c>
    </row>
    <row r="325" spans="2:2" x14ac:dyDescent="0.3">
      <c r="B325">
        <v>68479.537201328305</v>
      </c>
    </row>
    <row r="326" spans="2:2" x14ac:dyDescent="0.3">
      <c r="B326">
        <v>-257630.816154823</v>
      </c>
    </row>
    <row r="327" spans="2:2" x14ac:dyDescent="0.3">
      <c r="B327">
        <v>1180084.16917609</v>
      </c>
    </row>
    <row r="328" spans="2:2" x14ac:dyDescent="0.3">
      <c r="B328">
        <v>1720050.36004957</v>
      </c>
    </row>
    <row r="329" spans="2:2" x14ac:dyDescent="0.3">
      <c r="B329">
        <v>1889520.6193625899</v>
      </c>
    </row>
    <row r="330" spans="2:2" x14ac:dyDescent="0.3">
      <c r="B330">
        <v>-365336.09873963398</v>
      </c>
    </row>
    <row r="331" spans="2:2" x14ac:dyDescent="0.3">
      <c r="B331">
        <v>-218277.49448968601</v>
      </c>
    </row>
    <row r="332" spans="2:2" x14ac:dyDescent="0.3">
      <c r="B332">
        <v>-1869667.0312057701</v>
      </c>
    </row>
    <row r="333" spans="2:2" x14ac:dyDescent="0.3">
      <c r="B333">
        <v>-1602740.6591235099</v>
      </c>
    </row>
    <row r="334" spans="2:2" x14ac:dyDescent="0.3">
      <c r="B334">
        <v>-1010194.1730839</v>
      </c>
    </row>
    <row r="335" spans="2:2" x14ac:dyDescent="0.3">
      <c r="B335">
        <v>-842226.175353828</v>
      </c>
    </row>
    <row r="336" spans="2:2" x14ac:dyDescent="0.3">
      <c r="B336">
        <v>349132.37050337798</v>
      </c>
    </row>
    <row r="337" spans="2:2" x14ac:dyDescent="0.3">
      <c r="B337">
        <v>-557343.48635382601</v>
      </c>
    </row>
    <row r="338" spans="2:2" x14ac:dyDescent="0.3">
      <c r="B338">
        <v>-793152.55398454005</v>
      </c>
    </row>
    <row r="339" spans="2:2" x14ac:dyDescent="0.3">
      <c r="B339">
        <v>-1219499.08695924</v>
      </c>
    </row>
    <row r="340" spans="2:2" x14ac:dyDescent="0.3">
      <c r="B340">
        <v>1743371.69255116</v>
      </c>
    </row>
    <row r="341" spans="2:2" x14ac:dyDescent="0.3">
      <c r="B341">
        <v>325131.26400376001</v>
      </c>
    </row>
    <row r="342" spans="2:2" x14ac:dyDescent="0.3">
      <c r="B342">
        <v>-615609.22877085395</v>
      </c>
    </row>
    <row r="343" spans="2:2" x14ac:dyDescent="0.3">
      <c r="B343">
        <v>3529.4633387230001</v>
      </c>
    </row>
    <row r="344" spans="2:2" x14ac:dyDescent="0.3">
      <c r="B344">
        <v>3147783.6191880601</v>
      </c>
    </row>
    <row r="345" spans="2:2" x14ac:dyDescent="0.3">
      <c r="B345">
        <v>-1670567.89919454</v>
      </c>
    </row>
    <row r="346" spans="2:2" x14ac:dyDescent="0.3">
      <c r="B346">
        <v>633815.25955114001</v>
      </c>
    </row>
    <row r="347" spans="2:2" x14ac:dyDescent="0.3">
      <c r="B347">
        <v>-179127.24320076799</v>
      </c>
    </row>
    <row r="348" spans="2:2" x14ac:dyDescent="0.3">
      <c r="B348">
        <v>-1003363.96589883</v>
      </c>
    </row>
    <row r="349" spans="2:2" x14ac:dyDescent="0.3">
      <c r="B349">
        <v>-1422053.2105799799</v>
      </c>
    </row>
    <row r="350" spans="2:2" x14ac:dyDescent="0.3">
      <c r="B350">
        <v>1429565.66100647</v>
      </c>
    </row>
    <row r="351" spans="2:2" x14ac:dyDescent="0.3">
      <c r="B351">
        <v>-464652.01506757602</v>
      </c>
    </row>
    <row r="352" spans="2:2" x14ac:dyDescent="0.3">
      <c r="B352">
        <v>1751183.0301931801</v>
      </c>
    </row>
    <row r="353" spans="2:2" x14ac:dyDescent="0.3">
      <c r="B353">
        <v>-2529216.6656280998</v>
      </c>
    </row>
    <row r="354" spans="2:2" x14ac:dyDescent="0.3">
      <c r="B354">
        <v>-345326.54072485701</v>
      </c>
    </row>
    <row r="355" spans="2:2" x14ac:dyDescent="0.3">
      <c r="B355">
        <v>-815846.94413318299</v>
      </c>
    </row>
    <row r="356" spans="2:2" x14ac:dyDescent="0.3">
      <c r="B356">
        <v>402787.17713189201</v>
      </c>
    </row>
    <row r="357" spans="2:2" x14ac:dyDescent="0.3">
      <c r="B357">
        <v>320769.95513340703</v>
      </c>
    </row>
    <row r="358" spans="2:2" x14ac:dyDescent="0.3">
      <c r="B358">
        <v>-1647240.7297991801</v>
      </c>
    </row>
    <row r="359" spans="2:2" x14ac:dyDescent="0.3">
      <c r="B359">
        <v>1993148.87162608</v>
      </c>
    </row>
    <row r="360" spans="2:2" x14ac:dyDescent="0.3">
      <c r="B360">
        <v>855950.97804077901</v>
      </c>
    </row>
    <row r="361" spans="2:2" x14ac:dyDescent="0.3">
      <c r="B361">
        <v>-3096569.84877398</v>
      </c>
    </row>
    <row r="362" spans="2:2" x14ac:dyDescent="0.3">
      <c r="B362">
        <v>-355648.15767296701</v>
      </c>
    </row>
    <row r="363" spans="2:2" x14ac:dyDescent="0.3">
      <c r="B363">
        <v>-24006.078060197098</v>
      </c>
    </row>
    <row r="364" spans="2:2" x14ac:dyDescent="0.3">
      <c r="B364">
        <v>2285055.39884819</v>
      </c>
    </row>
    <row r="365" spans="2:2" x14ac:dyDescent="0.3">
      <c r="B365">
        <v>550325.20882465004</v>
      </c>
    </row>
    <row r="366" spans="2:2" x14ac:dyDescent="0.3">
      <c r="B366">
        <v>-898800.85563233006</v>
      </c>
    </row>
    <row r="367" spans="2:2" x14ac:dyDescent="0.3">
      <c r="B367">
        <v>-2043958.28215532</v>
      </c>
    </row>
    <row r="368" spans="2:2" x14ac:dyDescent="0.3">
      <c r="B368">
        <v>-1787511.05134576</v>
      </c>
    </row>
    <row r="369" spans="2:2" x14ac:dyDescent="0.3">
      <c r="B369">
        <v>-1056909.43306701</v>
      </c>
    </row>
    <row r="370" spans="2:2" x14ac:dyDescent="0.3">
      <c r="B370">
        <v>1614644.88378232</v>
      </c>
    </row>
    <row r="371" spans="2:2" x14ac:dyDescent="0.3">
      <c r="B371">
        <v>476181.06310559798</v>
      </c>
    </row>
    <row r="372" spans="2:2" x14ac:dyDescent="0.3">
      <c r="B372">
        <v>-1443654.5918481799</v>
      </c>
    </row>
    <row r="373" spans="2:2" x14ac:dyDescent="0.3">
      <c r="B373">
        <v>264270.05657930899</v>
      </c>
    </row>
    <row r="374" spans="2:2" x14ac:dyDescent="0.3">
      <c r="B374">
        <v>-1323424.9688600199</v>
      </c>
    </row>
    <row r="375" spans="2:2" x14ac:dyDescent="0.3">
      <c r="B375">
        <v>1204289.6700774301</v>
      </c>
    </row>
    <row r="376" spans="2:2" x14ac:dyDescent="0.3">
      <c r="B376">
        <v>1125900.7829710799</v>
      </c>
    </row>
    <row r="377" spans="2:2" x14ac:dyDescent="0.3">
      <c r="B377">
        <v>-161290.480856635</v>
      </c>
    </row>
    <row r="378" spans="2:2" x14ac:dyDescent="0.3">
      <c r="B378">
        <v>1216832.54418204</v>
      </c>
    </row>
    <row r="379" spans="2:2" x14ac:dyDescent="0.3">
      <c r="B379">
        <v>252101.463491559</v>
      </c>
    </row>
    <row r="380" spans="2:2" x14ac:dyDescent="0.3">
      <c r="B380">
        <v>-193466.818266107</v>
      </c>
    </row>
    <row r="381" spans="2:2" x14ac:dyDescent="0.3">
      <c r="B381">
        <v>-20742.3796023918</v>
      </c>
    </row>
    <row r="382" spans="2:2" x14ac:dyDescent="0.3">
      <c r="B382">
        <v>-840048.74622643599</v>
      </c>
    </row>
    <row r="383" spans="2:2" x14ac:dyDescent="0.3">
      <c r="B383">
        <v>558247.497091664</v>
      </c>
    </row>
    <row r="384" spans="2:2" x14ac:dyDescent="0.3">
      <c r="B384">
        <v>-686860.92104262405</v>
      </c>
    </row>
    <row r="385" spans="2:2" x14ac:dyDescent="0.3">
      <c r="B385">
        <v>-1499329.9602442801</v>
      </c>
    </row>
    <row r="386" spans="2:2" x14ac:dyDescent="0.3">
      <c r="B386">
        <v>-318211.33904553001</v>
      </c>
    </row>
    <row r="387" spans="2:2" x14ac:dyDescent="0.3">
      <c r="B387">
        <v>-460359.50507893699</v>
      </c>
    </row>
    <row r="388" spans="2:2" x14ac:dyDescent="0.3">
      <c r="B388">
        <v>4387068.3773054397</v>
      </c>
    </row>
    <row r="389" spans="2:2" x14ac:dyDescent="0.3">
      <c r="B389">
        <v>908450.97216887295</v>
      </c>
    </row>
    <row r="390" spans="2:2" x14ac:dyDescent="0.3">
      <c r="B390">
        <v>1034856.78795165</v>
      </c>
    </row>
    <row r="391" spans="2:2" x14ac:dyDescent="0.3">
      <c r="B391">
        <v>-1886155.2743102801</v>
      </c>
    </row>
    <row r="392" spans="2:2" x14ac:dyDescent="0.3">
      <c r="B392">
        <v>2233595.88643221</v>
      </c>
    </row>
    <row r="393" spans="2:2" x14ac:dyDescent="0.3">
      <c r="B393">
        <v>1776388.7980768301</v>
      </c>
    </row>
    <row r="394" spans="2:2" x14ac:dyDescent="0.3">
      <c r="B394">
        <v>891925.28119777597</v>
      </c>
    </row>
    <row r="395" spans="2:2" x14ac:dyDescent="0.3">
      <c r="B395">
        <v>-282619.43388958502</v>
      </c>
    </row>
    <row r="396" spans="2:2" x14ac:dyDescent="0.3">
      <c r="B396">
        <v>883856.48796808603</v>
      </c>
    </row>
    <row r="397" spans="2:2" x14ac:dyDescent="0.3">
      <c r="B397">
        <v>1922776.1453136201</v>
      </c>
    </row>
    <row r="398" spans="2:2" x14ac:dyDescent="0.3">
      <c r="B398">
        <v>-1034811.97158979</v>
      </c>
    </row>
    <row r="399" spans="2:2" x14ac:dyDescent="0.3">
      <c r="B399">
        <v>-1294290.2100808599</v>
      </c>
    </row>
    <row r="400" spans="2:2" x14ac:dyDescent="0.3">
      <c r="B400">
        <v>-2582160.88943442</v>
      </c>
    </row>
    <row r="401" spans="2:2" x14ac:dyDescent="0.3">
      <c r="B401">
        <v>1054674.3199461601</v>
      </c>
    </row>
    <row r="402" spans="2:2" x14ac:dyDescent="0.3">
      <c r="B402">
        <v>1884043.68399715</v>
      </c>
    </row>
    <row r="403" spans="2:2" x14ac:dyDescent="0.3">
      <c r="B403">
        <v>492904.39575007302</v>
      </c>
    </row>
    <row r="404" spans="2:2" x14ac:dyDescent="0.3">
      <c r="B404">
        <v>707757.64700237999</v>
      </c>
    </row>
    <row r="405" spans="2:2" x14ac:dyDescent="0.3">
      <c r="B405">
        <v>-545472.66209823499</v>
      </c>
    </row>
    <row r="406" spans="2:2" x14ac:dyDescent="0.3">
      <c r="B406">
        <v>1086502.13254469</v>
      </c>
    </row>
    <row r="407" spans="2:2" x14ac:dyDescent="0.3">
      <c r="B407">
        <v>3087419.1339382399</v>
      </c>
    </row>
    <row r="408" spans="2:2" x14ac:dyDescent="0.3">
      <c r="B408">
        <v>1249312.2205700099</v>
      </c>
    </row>
    <row r="409" spans="2:2" x14ac:dyDescent="0.3">
      <c r="B409">
        <v>-1820908.44085567</v>
      </c>
    </row>
    <row r="410" spans="2:2" x14ac:dyDescent="0.3">
      <c r="B410">
        <v>885388.85068515094</v>
      </c>
    </row>
    <row r="411" spans="2:2" x14ac:dyDescent="0.3">
      <c r="B411">
        <v>463272.61100338498</v>
      </c>
    </row>
    <row r="412" spans="2:2" x14ac:dyDescent="0.3">
      <c r="B412">
        <v>1373526.1261271001</v>
      </c>
    </row>
    <row r="413" spans="2:2" x14ac:dyDescent="0.3">
      <c r="B413">
        <v>-38237.308255587697</v>
      </c>
    </row>
    <row r="414" spans="2:2" x14ac:dyDescent="0.3">
      <c r="B414">
        <v>-346288.73251674499</v>
      </c>
    </row>
    <row r="415" spans="2:2" x14ac:dyDescent="0.3">
      <c r="B415">
        <v>-2021747.51113338</v>
      </c>
    </row>
    <row r="416" spans="2:2" x14ac:dyDescent="0.3">
      <c r="B416">
        <v>-1991333.22066865</v>
      </c>
    </row>
    <row r="417" spans="2:2" x14ac:dyDescent="0.3">
      <c r="B417">
        <v>450175.983681585</v>
      </c>
    </row>
    <row r="418" spans="2:2" x14ac:dyDescent="0.3">
      <c r="B418">
        <v>511137.23649288999</v>
      </c>
    </row>
    <row r="419" spans="2:2" x14ac:dyDescent="0.3">
      <c r="B419">
        <v>-1591496.80624197</v>
      </c>
    </row>
    <row r="420" spans="2:2" x14ac:dyDescent="0.3">
      <c r="B420">
        <v>992145.53094155097</v>
      </c>
    </row>
    <row r="421" spans="2:2" x14ac:dyDescent="0.3">
      <c r="B421">
        <v>-371800.82752541301</v>
      </c>
    </row>
    <row r="422" spans="2:2" x14ac:dyDescent="0.3">
      <c r="B422">
        <v>-1404840.1287463701</v>
      </c>
    </row>
    <row r="423" spans="2:2" x14ac:dyDescent="0.3">
      <c r="B423">
        <v>633199.01976552105</v>
      </c>
    </row>
    <row r="424" spans="2:2" x14ac:dyDescent="0.3">
      <c r="B424">
        <v>770548.33827725495</v>
      </c>
    </row>
    <row r="425" spans="2:2" x14ac:dyDescent="0.3">
      <c r="B425">
        <v>-1500210.90551934</v>
      </c>
    </row>
    <row r="426" spans="2:2" x14ac:dyDescent="0.3">
      <c r="B426">
        <v>519755.931604015</v>
      </c>
    </row>
    <row r="427" spans="2:2" x14ac:dyDescent="0.3">
      <c r="B427">
        <v>-193747.486377233</v>
      </c>
    </row>
    <row r="428" spans="2:2" x14ac:dyDescent="0.3">
      <c r="B428">
        <v>-643803.544947427</v>
      </c>
    </row>
    <row r="429" spans="2:2" x14ac:dyDescent="0.3">
      <c r="B429">
        <v>3595788.0573283802</v>
      </c>
    </row>
    <row r="430" spans="2:2" x14ac:dyDescent="0.3">
      <c r="B430">
        <v>139021.880376924</v>
      </c>
    </row>
    <row r="431" spans="2:2" x14ac:dyDescent="0.3">
      <c r="B431">
        <v>-750627.740292656</v>
      </c>
    </row>
    <row r="432" spans="2:2" x14ac:dyDescent="0.3">
      <c r="B432">
        <v>9511.5395170923694</v>
      </c>
    </row>
    <row r="433" spans="2:2" x14ac:dyDescent="0.3">
      <c r="B433">
        <v>2775558.8731765901</v>
      </c>
    </row>
    <row r="434" spans="2:2" x14ac:dyDescent="0.3">
      <c r="B434">
        <v>2720396.6922313999</v>
      </c>
    </row>
    <row r="435" spans="2:2" x14ac:dyDescent="0.3">
      <c r="B435">
        <v>1804476.3334785099</v>
      </c>
    </row>
    <row r="436" spans="2:2" x14ac:dyDescent="0.3">
      <c r="B436">
        <v>-944655.21985857596</v>
      </c>
    </row>
    <row r="437" spans="2:2" x14ac:dyDescent="0.3">
      <c r="B437">
        <v>3639267.3828055901</v>
      </c>
    </row>
    <row r="438" spans="2:2" x14ac:dyDescent="0.3">
      <c r="B438">
        <v>4584316.6304142997</v>
      </c>
    </row>
    <row r="439" spans="2:2" x14ac:dyDescent="0.3">
      <c r="B439">
        <v>-858374.89165824396</v>
      </c>
    </row>
    <row r="440" spans="2:2" x14ac:dyDescent="0.3">
      <c r="B440">
        <v>-1217526.99739999</v>
      </c>
    </row>
    <row r="441" spans="2:2" x14ac:dyDescent="0.3">
      <c r="B441">
        <v>-249522.41639242301</v>
      </c>
    </row>
    <row r="442" spans="2:2" x14ac:dyDescent="0.3">
      <c r="B442">
        <v>1206741.7342238701</v>
      </c>
    </row>
    <row r="443" spans="2:2" x14ac:dyDescent="0.3">
      <c r="B443">
        <v>1880768.6777894499</v>
      </c>
    </row>
    <row r="444" spans="2:2" x14ac:dyDescent="0.3">
      <c r="B444">
        <v>172048.98628832601</v>
      </c>
    </row>
    <row r="445" spans="2:2" x14ac:dyDescent="0.3">
      <c r="B445">
        <v>-73086.066960212207</v>
      </c>
    </row>
    <row r="446" spans="2:2" x14ac:dyDescent="0.3">
      <c r="B446">
        <v>-1241415.76423291</v>
      </c>
    </row>
    <row r="447" spans="2:2" x14ac:dyDescent="0.3">
      <c r="B447">
        <v>-2409197.6074035498</v>
      </c>
    </row>
    <row r="448" spans="2:2" x14ac:dyDescent="0.3">
      <c r="B448">
        <v>-2751958.7660418502</v>
      </c>
    </row>
    <row r="449" spans="2:2" x14ac:dyDescent="0.3">
      <c r="B449">
        <v>-562279.67087276198</v>
      </c>
    </row>
    <row r="450" spans="2:2" x14ac:dyDescent="0.3">
      <c r="B450">
        <v>638600.34088621102</v>
      </c>
    </row>
    <row r="451" spans="2:2" x14ac:dyDescent="0.3">
      <c r="B451">
        <v>725363.04000274197</v>
      </c>
    </row>
    <row r="452" spans="2:2" x14ac:dyDescent="0.3">
      <c r="B452">
        <v>449693.27411655802</v>
      </c>
    </row>
    <row r="453" spans="2:2" x14ac:dyDescent="0.3">
      <c r="B453">
        <v>-1119309.99925266</v>
      </c>
    </row>
    <row r="454" spans="2:2" x14ac:dyDescent="0.3">
      <c r="B454">
        <v>751336.02371842705</v>
      </c>
    </row>
    <row r="455" spans="2:2" x14ac:dyDescent="0.3">
      <c r="B455">
        <v>245589.62747887801</v>
      </c>
    </row>
    <row r="456" spans="2:2" x14ac:dyDescent="0.3">
      <c r="B456">
        <v>2282174.2228575698</v>
      </c>
    </row>
    <row r="457" spans="2:2" x14ac:dyDescent="0.3">
      <c r="B457">
        <v>-397497.716312184</v>
      </c>
    </row>
    <row r="458" spans="2:2" x14ac:dyDescent="0.3">
      <c r="B458">
        <v>-1485808.63025287</v>
      </c>
    </row>
    <row r="459" spans="2:2" x14ac:dyDescent="0.3">
      <c r="B459">
        <v>-810386.09885886696</v>
      </c>
    </row>
    <row r="460" spans="2:2" x14ac:dyDescent="0.3">
      <c r="B460">
        <v>-204589.17710008501</v>
      </c>
    </row>
    <row r="461" spans="2:2" x14ac:dyDescent="0.3">
      <c r="B461">
        <v>-632601.12179500004</v>
      </c>
    </row>
    <row r="462" spans="2:2" x14ac:dyDescent="0.3">
      <c r="B462">
        <v>-451971.585553443</v>
      </c>
    </row>
    <row r="463" spans="2:2" x14ac:dyDescent="0.3">
      <c r="B463">
        <v>764493.06673277798</v>
      </c>
    </row>
    <row r="464" spans="2:2" x14ac:dyDescent="0.3">
      <c r="B464">
        <v>-1214310.2146657801</v>
      </c>
    </row>
    <row r="465" spans="2:2" x14ac:dyDescent="0.3">
      <c r="B465">
        <v>1106105.2351507901</v>
      </c>
    </row>
    <row r="466" spans="2:2" x14ac:dyDescent="0.3">
      <c r="B466">
        <v>1015577.08659163</v>
      </c>
    </row>
    <row r="467" spans="2:2" x14ac:dyDescent="0.3">
      <c r="B467">
        <v>-2298750.6159153301</v>
      </c>
    </row>
    <row r="468" spans="2:2" x14ac:dyDescent="0.3">
      <c r="B468">
        <v>-511738.09996074298</v>
      </c>
    </row>
    <row r="469" spans="2:2" x14ac:dyDescent="0.3">
      <c r="B469">
        <v>602445.18282825698</v>
      </c>
    </row>
    <row r="470" spans="2:2" x14ac:dyDescent="0.3">
      <c r="B470">
        <v>498494.06558912602</v>
      </c>
    </row>
    <row r="471" spans="2:2" x14ac:dyDescent="0.3">
      <c r="B471">
        <v>-912850.07098724705</v>
      </c>
    </row>
    <row r="472" spans="2:2" x14ac:dyDescent="0.3">
      <c r="B472">
        <v>239610.70437266299</v>
      </c>
    </row>
    <row r="473" spans="2:2" x14ac:dyDescent="0.3">
      <c r="B473">
        <v>-1758085.31386642</v>
      </c>
    </row>
    <row r="474" spans="2:2" x14ac:dyDescent="0.3">
      <c r="B474">
        <v>-2982940.2245782302</v>
      </c>
    </row>
    <row r="475" spans="2:2" x14ac:dyDescent="0.3">
      <c r="B475">
        <v>79022.769485364493</v>
      </c>
    </row>
    <row r="476" spans="2:2" x14ac:dyDescent="0.3">
      <c r="B476">
        <v>-957314.98346162599</v>
      </c>
    </row>
    <row r="477" spans="2:2" x14ac:dyDescent="0.3">
      <c r="B477">
        <v>763832.88670829695</v>
      </c>
    </row>
    <row r="478" spans="2:2" x14ac:dyDescent="0.3">
      <c r="B478">
        <v>-986453.380128772</v>
      </c>
    </row>
    <row r="479" spans="2:2" x14ac:dyDescent="0.3">
      <c r="B479">
        <v>1939847.8395927099</v>
      </c>
    </row>
    <row r="480" spans="2:2" x14ac:dyDescent="0.3">
      <c r="B480">
        <v>-179105.39238801299</v>
      </c>
    </row>
    <row r="481" spans="2:2" x14ac:dyDescent="0.3">
      <c r="B481">
        <v>4543227.4936667299</v>
      </c>
    </row>
    <row r="482" spans="2:2" x14ac:dyDescent="0.3">
      <c r="B482">
        <v>1104549.5015227001</v>
      </c>
    </row>
    <row r="483" spans="2:2" x14ac:dyDescent="0.3">
      <c r="B483">
        <v>-1713790.56440331</v>
      </c>
    </row>
    <row r="484" spans="2:2" x14ac:dyDescent="0.3">
      <c r="B484">
        <v>-3006468.8403763501</v>
      </c>
    </row>
    <row r="485" spans="2:2" x14ac:dyDescent="0.3">
      <c r="B485">
        <v>775153.314514942</v>
      </c>
    </row>
    <row r="486" spans="2:2" x14ac:dyDescent="0.3">
      <c r="B486">
        <v>-62720.7304444369</v>
      </c>
    </row>
    <row r="487" spans="2:2" x14ac:dyDescent="0.3">
      <c r="B487">
        <v>-559883.44002674497</v>
      </c>
    </row>
    <row r="488" spans="2:2" x14ac:dyDescent="0.3">
      <c r="B488">
        <v>-2356160.8305821</v>
      </c>
    </row>
    <row r="489" spans="2:2" x14ac:dyDescent="0.3">
      <c r="B489">
        <v>1137753.1071138401</v>
      </c>
    </row>
    <row r="490" spans="2:2" x14ac:dyDescent="0.3">
      <c r="B490">
        <v>-951309.15138579998</v>
      </c>
    </row>
    <row r="491" spans="2:2" x14ac:dyDescent="0.3">
      <c r="B491">
        <v>2803408.7845338699</v>
      </c>
    </row>
    <row r="492" spans="2:2" x14ac:dyDescent="0.3">
      <c r="B492">
        <v>-482623.43779049302</v>
      </c>
    </row>
    <row r="493" spans="2:2" x14ac:dyDescent="0.3">
      <c r="B493">
        <v>3391309.24239677</v>
      </c>
    </row>
    <row r="494" spans="2:2" x14ac:dyDescent="0.3">
      <c r="B494">
        <v>-1838081.52730477</v>
      </c>
    </row>
    <row r="495" spans="2:2" x14ac:dyDescent="0.3">
      <c r="B495">
        <v>-2230101.7547384398</v>
      </c>
    </row>
    <row r="496" spans="2:2" x14ac:dyDescent="0.3">
      <c r="B496">
        <v>-418215.83461126598</v>
      </c>
    </row>
    <row r="497" spans="2:2" x14ac:dyDescent="0.3">
      <c r="B497">
        <v>1145685.82390045</v>
      </c>
    </row>
    <row r="498" spans="2:2" x14ac:dyDescent="0.3">
      <c r="B498">
        <v>-338186.05131001701</v>
      </c>
    </row>
    <row r="499" spans="2:2" x14ac:dyDescent="0.3">
      <c r="B499">
        <v>469536.49476743001</v>
      </c>
    </row>
    <row r="500" spans="2:2" x14ac:dyDescent="0.3">
      <c r="B500">
        <v>746373.42128128605</v>
      </c>
    </row>
    <row r="501" spans="2:2" x14ac:dyDescent="0.3">
      <c r="B501">
        <v>1646093.1189695499</v>
      </c>
    </row>
    <row r="502" spans="2:2" x14ac:dyDescent="0.3">
      <c r="B502">
        <v>646820.99244332605</v>
      </c>
    </row>
    <row r="503" spans="2:2" x14ac:dyDescent="0.3">
      <c r="B503">
        <v>-457889.38048580498</v>
      </c>
    </row>
    <row r="504" spans="2:2" x14ac:dyDescent="0.3">
      <c r="B504">
        <v>2540506.6759823002</v>
      </c>
    </row>
    <row r="505" spans="2:2" x14ac:dyDescent="0.3">
      <c r="B505">
        <v>-309827.35019890597</v>
      </c>
    </row>
    <row r="506" spans="2:2" x14ac:dyDescent="0.3">
      <c r="B506">
        <v>-84407.839859900894</v>
      </c>
    </row>
    <row r="507" spans="2:2" x14ac:dyDescent="0.3">
      <c r="B507">
        <v>-323543.682708746</v>
      </c>
    </row>
    <row r="508" spans="2:2" x14ac:dyDescent="0.3">
      <c r="B508">
        <v>1345515.8655177699</v>
      </c>
    </row>
    <row r="509" spans="2:2" x14ac:dyDescent="0.3">
      <c r="B509">
        <v>4223892.2472654898</v>
      </c>
    </row>
    <row r="510" spans="2:2" x14ac:dyDescent="0.3">
      <c r="B510">
        <v>-40418.343681926701</v>
      </c>
    </row>
    <row r="511" spans="2:2" x14ac:dyDescent="0.3">
      <c r="B511">
        <v>782730.99136931298</v>
      </c>
    </row>
    <row r="512" spans="2:2" x14ac:dyDescent="0.3">
      <c r="B512">
        <v>-993737.72964756202</v>
      </c>
    </row>
    <row r="513" spans="2:2" x14ac:dyDescent="0.3">
      <c r="B513">
        <v>1224127.83293095</v>
      </c>
    </row>
    <row r="514" spans="2:2" x14ac:dyDescent="0.3">
      <c r="B514">
        <v>-177757.984331051</v>
      </c>
    </row>
    <row r="515" spans="2:2" x14ac:dyDescent="0.3">
      <c r="B515">
        <v>-1864703.74867923</v>
      </c>
    </row>
    <row r="516" spans="2:2" x14ac:dyDescent="0.3">
      <c r="B516">
        <v>-560332.43277929304</v>
      </c>
    </row>
    <row r="517" spans="2:2" x14ac:dyDescent="0.3">
      <c r="B517">
        <v>1077226.57816454</v>
      </c>
    </row>
    <row r="518" spans="2:2" x14ac:dyDescent="0.3">
      <c r="B518">
        <v>-477201.35717392899</v>
      </c>
    </row>
    <row r="519" spans="2:2" x14ac:dyDescent="0.3">
      <c r="B519">
        <v>1244443.54412561</v>
      </c>
    </row>
    <row r="520" spans="2:2" x14ac:dyDescent="0.3">
      <c r="B520">
        <v>2295866.0260459501</v>
      </c>
    </row>
    <row r="521" spans="2:2" x14ac:dyDescent="0.3">
      <c r="B521">
        <v>-1170459.70837905</v>
      </c>
    </row>
    <row r="522" spans="2:2" x14ac:dyDescent="0.3">
      <c r="B522">
        <v>660627.43719238602</v>
      </c>
    </row>
    <row r="523" spans="2:2" x14ac:dyDescent="0.3">
      <c r="B523">
        <v>2033944.9464461999</v>
      </c>
    </row>
    <row r="524" spans="2:2" x14ac:dyDescent="0.3">
      <c r="B524">
        <v>1371402.02367236</v>
      </c>
    </row>
    <row r="525" spans="2:2" x14ac:dyDescent="0.3">
      <c r="B525">
        <v>2277470.7249013898</v>
      </c>
    </row>
    <row r="526" spans="2:2" x14ac:dyDescent="0.3">
      <c r="B526">
        <v>-110673.952196101</v>
      </c>
    </row>
    <row r="527" spans="2:2" x14ac:dyDescent="0.3">
      <c r="B527">
        <v>1484288.8148250901</v>
      </c>
    </row>
    <row r="528" spans="2:2" x14ac:dyDescent="0.3">
      <c r="B528">
        <v>2794450.4816513299</v>
      </c>
    </row>
    <row r="529" spans="2:2" x14ac:dyDescent="0.3">
      <c r="B529">
        <v>185597.86153671899</v>
      </c>
    </row>
    <row r="530" spans="2:2" x14ac:dyDescent="0.3">
      <c r="B530">
        <v>1228163.8766650499</v>
      </c>
    </row>
    <row r="531" spans="2:2" x14ac:dyDescent="0.3">
      <c r="B531">
        <v>-740550.34161511797</v>
      </c>
    </row>
    <row r="532" spans="2:2" x14ac:dyDescent="0.3">
      <c r="B532">
        <v>2430191.5288667502</v>
      </c>
    </row>
    <row r="533" spans="2:2" x14ac:dyDescent="0.3">
      <c r="B533">
        <v>755495.92879639601</v>
      </c>
    </row>
    <row r="534" spans="2:2" x14ac:dyDescent="0.3">
      <c r="B534">
        <v>-813872.56130570499</v>
      </c>
    </row>
    <row r="535" spans="2:2" x14ac:dyDescent="0.3">
      <c r="B535">
        <v>1205599.32329479</v>
      </c>
    </row>
    <row r="536" spans="2:2" x14ac:dyDescent="0.3">
      <c r="B536">
        <v>-991107.10985247896</v>
      </c>
    </row>
    <row r="537" spans="2:2" x14ac:dyDescent="0.3">
      <c r="B537">
        <v>-1810674.4252691299</v>
      </c>
    </row>
    <row r="538" spans="2:2" x14ac:dyDescent="0.3">
      <c r="B538">
        <v>340726.24896100798</v>
      </c>
    </row>
    <row r="539" spans="2:2" x14ac:dyDescent="0.3">
      <c r="B539">
        <v>325589.820925084</v>
      </c>
    </row>
    <row r="540" spans="2:2" x14ac:dyDescent="0.3">
      <c r="B540">
        <v>81177.986053961606</v>
      </c>
    </row>
    <row r="541" spans="2:2" x14ac:dyDescent="0.3">
      <c r="B541">
        <v>2614346.4763063998</v>
      </c>
    </row>
    <row r="542" spans="2:2" x14ac:dyDescent="0.3">
      <c r="B542">
        <v>-893322.30145151203</v>
      </c>
    </row>
    <row r="543" spans="2:2" x14ac:dyDescent="0.3">
      <c r="B543">
        <v>-1695893.9955414401</v>
      </c>
    </row>
    <row r="544" spans="2:2" x14ac:dyDescent="0.3">
      <c r="B544">
        <v>2838571.9964734698</v>
      </c>
    </row>
    <row r="545" spans="2:2" x14ac:dyDescent="0.3">
      <c r="B545">
        <v>-741109.25076635706</v>
      </c>
    </row>
    <row r="546" spans="2:2" x14ac:dyDescent="0.3">
      <c r="B546">
        <v>-242894.176115854</v>
      </c>
    </row>
    <row r="547" spans="2:2" x14ac:dyDescent="0.3">
      <c r="B547">
        <v>-935484.50987587404</v>
      </c>
    </row>
    <row r="548" spans="2:2" x14ac:dyDescent="0.3">
      <c r="B548">
        <v>384534.32422128198</v>
      </c>
    </row>
    <row r="549" spans="2:2" x14ac:dyDescent="0.3">
      <c r="B549">
        <v>26650.363539419301</v>
      </c>
    </row>
    <row r="550" spans="2:2" x14ac:dyDescent="0.3">
      <c r="B550">
        <v>2099039.5686850999</v>
      </c>
    </row>
    <row r="551" spans="2:2" x14ac:dyDescent="0.3">
      <c r="B551">
        <v>-1211604.3266155201</v>
      </c>
    </row>
    <row r="552" spans="2:2" x14ac:dyDescent="0.3">
      <c r="B552">
        <v>159970.20046260799</v>
      </c>
    </row>
    <row r="553" spans="2:2" x14ac:dyDescent="0.3">
      <c r="B553">
        <v>947431.49526946398</v>
      </c>
    </row>
    <row r="554" spans="2:2" x14ac:dyDescent="0.3">
      <c r="B554">
        <v>-79204.089375895506</v>
      </c>
    </row>
    <row r="555" spans="2:2" x14ac:dyDescent="0.3">
      <c r="B555">
        <v>-640247.19303153304</v>
      </c>
    </row>
    <row r="556" spans="2:2" x14ac:dyDescent="0.3">
      <c r="B556">
        <v>-668728.57833917602</v>
      </c>
    </row>
    <row r="557" spans="2:2" x14ac:dyDescent="0.3">
      <c r="B557">
        <v>862086.64370927296</v>
      </c>
    </row>
    <row r="558" spans="2:2" x14ac:dyDescent="0.3">
      <c r="B558">
        <v>-115328.35178385201</v>
      </c>
    </row>
    <row r="559" spans="2:2" x14ac:dyDescent="0.3">
      <c r="B559">
        <v>2091294.02178173</v>
      </c>
    </row>
    <row r="560" spans="2:2" x14ac:dyDescent="0.3">
      <c r="B560">
        <v>597592.82010532601</v>
      </c>
    </row>
    <row r="561" spans="2:2" x14ac:dyDescent="0.3">
      <c r="B561">
        <v>-167677.705676271</v>
      </c>
    </row>
    <row r="562" spans="2:2" x14ac:dyDescent="0.3">
      <c r="B562">
        <v>2566636.2354122899</v>
      </c>
    </row>
    <row r="563" spans="2:2" x14ac:dyDescent="0.3">
      <c r="B563">
        <v>-1396678.15634302</v>
      </c>
    </row>
    <row r="564" spans="2:2" x14ac:dyDescent="0.3">
      <c r="B564">
        <v>670038.11976352998</v>
      </c>
    </row>
    <row r="565" spans="2:2" x14ac:dyDescent="0.3">
      <c r="B565">
        <v>-570512.27181953099</v>
      </c>
    </row>
    <row r="566" spans="2:2" x14ac:dyDescent="0.3">
      <c r="B566">
        <v>2405390.2759334301</v>
      </c>
    </row>
    <row r="567" spans="2:2" x14ac:dyDescent="0.3">
      <c r="B567">
        <v>-866369.302768355</v>
      </c>
    </row>
    <row r="568" spans="2:2" x14ac:dyDescent="0.3">
      <c r="B568">
        <v>2685867.8368548602</v>
      </c>
    </row>
    <row r="569" spans="2:2" x14ac:dyDescent="0.3">
      <c r="B569">
        <v>1156801.77967868</v>
      </c>
    </row>
    <row r="570" spans="2:2" x14ac:dyDescent="0.3">
      <c r="B570">
        <v>-778466.13003250305</v>
      </c>
    </row>
    <row r="571" spans="2:2" x14ac:dyDescent="0.3">
      <c r="B571">
        <v>-609897.76480402495</v>
      </c>
    </row>
    <row r="572" spans="2:2" x14ac:dyDescent="0.3">
      <c r="B572">
        <v>1373357.5680668801</v>
      </c>
    </row>
    <row r="573" spans="2:2" x14ac:dyDescent="0.3">
      <c r="B573">
        <v>443678.94830193702</v>
      </c>
    </row>
    <row r="574" spans="2:2" x14ac:dyDescent="0.3">
      <c r="B574">
        <v>804643.31121817604</v>
      </c>
    </row>
    <row r="575" spans="2:2" x14ac:dyDescent="0.3">
      <c r="B575">
        <v>1878192.0791173701</v>
      </c>
    </row>
    <row r="576" spans="2:2" x14ac:dyDescent="0.3">
      <c r="B576">
        <v>49225.763692394903</v>
      </c>
    </row>
    <row r="577" spans="2:2" x14ac:dyDescent="0.3">
      <c r="B577">
        <v>294551.085095416</v>
      </c>
    </row>
    <row r="578" spans="2:2" x14ac:dyDescent="0.3">
      <c r="B578">
        <v>-85844.010795598093</v>
      </c>
    </row>
    <row r="579" spans="2:2" x14ac:dyDescent="0.3">
      <c r="B579">
        <v>432855.58874934597</v>
      </c>
    </row>
    <row r="580" spans="2:2" x14ac:dyDescent="0.3">
      <c r="B580">
        <v>719918.94899717695</v>
      </c>
    </row>
    <row r="581" spans="2:2" x14ac:dyDescent="0.3">
      <c r="B581">
        <v>484163.49864655698</v>
      </c>
    </row>
    <row r="582" spans="2:2" x14ac:dyDescent="0.3">
      <c r="B582">
        <v>-52207.151995430198</v>
      </c>
    </row>
    <row r="583" spans="2:2" x14ac:dyDescent="0.3">
      <c r="B583">
        <v>1798553.0670703901</v>
      </c>
    </row>
    <row r="584" spans="2:2" x14ac:dyDescent="0.3">
      <c r="B584">
        <v>784221.78330222599</v>
      </c>
    </row>
    <row r="585" spans="2:2" x14ac:dyDescent="0.3">
      <c r="B585">
        <v>-717071.36367808504</v>
      </c>
    </row>
    <row r="586" spans="2:2" x14ac:dyDescent="0.3">
      <c r="B586">
        <v>801896.78505441395</v>
      </c>
    </row>
    <row r="587" spans="2:2" x14ac:dyDescent="0.3">
      <c r="B587">
        <v>-1752588.38167715</v>
      </c>
    </row>
    <row r="588" spans="2:2" x14ac:dyDescent="0.3">
      <c r="B588">
        <v>1670329.85156531</v>
      </c>
    </row>
    <row r="589" spans="2:2" x14ac:dyDescent="0.3">
      <c r="B589">
        <v>1501638.28589461</v>
      </c>
    </row>
    <row r="590" spans="2:2" x14ac:dyDescent="0.3">
      <c r="B590">
        <v>1779831.8582312299</v>
      </c>
    </row>
    <row r="591" spans="2:2" x14ac:dyDescent="0.3">
      <c r="B591">
        <v>-1306341.37380263</v>
      </c>
    </row>
    <row r="592" spans="2:2" x14ac:dyDescent="0.3">
      <c r="B592">
        <v>875325.89301948505</v>
      </c>
    </row>
    <row r="593" spans="2:2" x14ac:dyDescent="0.3">
      <c r="B593">
        <v>-2382736.0473555</v>
      </c>
    </row>
    <row r="594" spans="2:2" x14ac:dyDescent="0.3">
      <c r="B594">
        <v>2081573.1198869799</v>
      </c>
    </row>
    <row r="595" spans="2:2" x14ac:dyDescent="0.3">
      <c r="B595">
        <v>-1995474.51513878</v>
      </c>
    </row>
    <row r="596" spans="2:2" x14ac:dyDescent="0.3">
      <c r="B596">
        <v>3708036.7199099399</v>
      </c>
    </row>
    <row r="597" spans="2:2" x14ac:dyDescent="0.3">
      <c r="B597">
        <v>-1478330.14026237</v>
      </c>
    </row>
    <row r="598" spans="2:2" x14ac:dyDescent="0.3">
      <c r="B598">
        <v>-335020.91997509397</v>
      </c>
    </row>
    <row r="599" spans="2:2" x14ac:dyDescent="0.3">
      <c r="B599">
        <v>-8830.5270541854006</v>
      </c>
    </row>
    <row r="600" spans="2:2" x14ac:dyDescent="0.3">
      <c r="B600">
        <v>2826634.69929627</v>
      </c>
    </row>
    <row r="601" spans="2:2" x14ac:dyDescent="0.3">
      <c r="B601">
        <v>472254.44513406302</v>
      </c>
    </row>
    <row r="602" spans="2:2" x14ac:dyDescent="0.3">
      <c r="B602">
        <v>-19105.6490958125</v>
      </c>
    </row>
    <row r="603" spans="2:2" x14ac:dyDescent="0.3">
      <c r="B603">
        <v>958980.93936374795</v>
      </c>
    </row>
    <row r="604" spans="2:2" x14ac:dyDescent="0.3">
      <c r="B604">
        <v>-606439.99714057299</v>
      </c>
    </row>
    <row r="605" spans="2:2" x14ac:dyDescent="0.3">
      <c r="B605">
        <v>-114174.178318648</v>
      </c>
    </row>
    <row r="606" spans="2:2" x14ac:dyDescent="0.3">
      <c r="B606">
        <v>-381903.85289308103</v>
      </c>
    </row>
    <row r="607" spans="2:2" x14ac:dyDescent="0.3">
      <c r="B607">
        <v>193703.23684261701</v>
      </c>
    </row>
    <row r="608" spans="2:2" x14ac:dyDescent="0.3">
      <c r="B608">
        <v>-66249.411884418994</v>
      </c>
    </row>
    <row r="609" spans="2:2" x14ac:dyDescent="0.3">
      <c r="B609">
        <v>-1451825.37557024</v>
      </c>
    </row>
    <row r="610" spans="2:2" x14ac:dyDescent="0.3">
      <c r="B610">
        <v>779022.09337677201</v>
      </c>
    </row>
    <row r="611" spans="2:2" x14ac:dyDescent="0.3">
      <c r="B611">
        <v>-1508051.46201442</v>
      </c>
    </row>
    <row r="612" spans="2:2" x14ac:dyDescent="0.3">
      <c r="B612">
        <v>-706353.664506022</v>
      </c>
    </row>
    <row r="613" spans="2:2" x14ac:dyDescent="0.3">
      <c r="B613">
        <v>-719968.28013467102</v>
      </c>
    </row>
    <row r="614" spans="2:2" x14ac:dyDescent="0.3">
      <c r="B614">
        <v>-515035.17273106897</v>
      </c>
    </row>
    <row r="615" spans="2:2" x14ac:dyDescent="0.3">
      <c r="B615">
        <v>1405217.2280127101</v>
      </c>
    </row>
    <row r="616" spans="2:2" x14ac:dyDescent="0.3">
      <c r="B616">
        <v>-315072.09653144103</v>
      </c>
    </row>
    <row r="617" spans="2:2" x14ac:dyDescent="0.3">
      <c r="B617">
        <v>3213642.7755997698</v>
      </c>
    </row>
    <row r="618" spans="2:2" x14ac:dyDescent="0.3">
      <c r="B618">
        <v>447635.23842749698</v>
      </c>
    </row>
    <row r="619" spans="2:2" x14ac:dyDescent="0.3">
      <c r="B619">
        <v>-344859.25220870698</v>
      </c>
    </row>
    <row r="620" spans="2:2" x14ac:dyDescent="0.3">
      <c r="B620">
        <v>-339231.624744475</v>
      </c>
    </row>
    <row r="621" spans="2:2" x14ac:dyDescent="0.3">
      <c r="B621">
        <v>-1103595.9329019201</v>
      </c>
    </row>
    <row r="622" spans="2:2" x14ac:dyDescent="0.3">
      <c r="B622">
        <v>-759910.83962969296</v>
      </c>
    </row>
    <row r="623" spans="2:2" x14ac:dyDescent="0.3">
      <c r="B623">
        <v>-1365069.4395888599</v>
      </c>
    </row>
    <row r="624" spans="2:2" x14ac:dyDescent="0.3">
      <c r="B624">
        <v>145343.207153517</v>
      </c>
    </row>
    <row r="625" spans="2:2" x14ac:dyDescent="0.3">
      <c r="B625">
        <v>-447252.21394629602</v>
      </c>
    </row>
    <row r="626" spans="2:2" x14ac:dyDescent="0.3">
      <c r="B626">
        <v>1461737.74833133</v>
      </c>
    </row>
    <row r="627" spans="2:2" x14ac:dyDescent="0.3">
      <c r="B627">
        <v>1920769.8626992099</v>
      </c>
    </row>
    <row r="628" spans="2:2" x14ac:dyDescent="0.3">
      <c r="B628">
        <v>-1304347.1510158801</v>
      </c>
    </row>
    <row r="629" spans="2:2" x14ac:dyDescent="0.3">
      <c r="B629">
        <v>-1560335.69884</v>
      </c>
    </row>
    <row r="630" spans="2:2" x14ac:dyDescent="0.3">
      <c r="B630">
        <v>3076985.6687781699</v>
      </c>
    </row>
    <row r="631" spans="2:2" x14ac:dyDescent="0.3">
      <c r="B631">
        <v>132950.98726737101</v>
      </c>
    </row>
    <row r="632" spans="2:2" x14ac:dyDescent="0.3">
      <c r="B632">
        <v>-759609.59663300402</v>
      </c>
    </row>
    <row r="633" spans="2:2" x14ac:dyDescent="0.3">
      <c r="B633">
        <v>3357785.3384577301</v>
      </c>
    </row>
    <row r="634" spans="2:2" x14ac:dyDescent="0.3">
      <c r="B634">
        <v>2146183.4787602201</v>
      </c>
    </row>
    <row r="635" spans="2:2" x14ac:dyDescent="0.3">
      <c r="B635">
        <v>1390141.25497269</v>
      </c>
    </row>
    <row r="636" spans="2:2" x14ac:dyDescent="0.3">
      <c r="B636">
        <v>-838889.75014826504</v>
      </c>
    </row>
    <row r="637" spans="2:2" x14ac:dyDescent="0.3">
      <c r="B637">
        <v>1548912.9840609699</v>
      </c>
    </row>
    <row r="638" spans="2:2" x14ac:dyDescent="0.3">
      <c r="B638">
        <v>666025.24676306499</v>
      </c>
    </row>
    <row r="639" spans="2:2" x14ac:dyDescent="0.3">
      <c r="B639">
        <v>-177717.990004789</v>
      </c>
    </row>
    <row r="640" spans="2:2" x14ac:dyDescent="0.3">
      <c r="B640">
        <v>-285860.33971477399</v>
      </c>
    </row>
    <row r="641" spans="2:2" x14ac:dyDescent="0.3">
      <c r="B641">
        <v>-842821.66737910896</v>
      </c>
    </row>
    <row r="642" spans="2:2" x14ac:dyDescent="0.3">
      <c r="B642">
        <v>1648561.69548698</v>
      </c>
    </row>
    <row r="643" spans="2:2" x14ac:dyDescent="0.3">
      <c r="B643">
        <v>-1103091.8338728</v>
      </c>
    </row>
    <row r="644" spans="2:2" x14ac:dyDescent="0.3">
      <c r="B644">
        <v>901915.12757382204</v>
      </c>
    </row>
    <row r="645" spans="2:2" x14ac:dyDescent="0.3">
      <c r="B645">
        <v>-259853.68711766001</v>
      </c>
    </row>
    <row r="646" spans="2:2" x14ac:dyDescent="0.3">
      <c r="B646">
        <v>1090851.2452632501</v>
      </c>
    </row>
    <row r="647" spans="2:2" x14ac:dyDescent="0.3">
      <c r="B647">
        <v>-1644264.9381443099</v>
      </c>
    </row>
    <row r="648" spans="2:2" x14ac:dyDescent="0.3">
      <c r="B648">
        <v>1468197.67910134</v>
      </c>
    </row>
    <row r="649" spans="2:2" x14ac:dyDescent="0.3">
      <c r="B649">
        <v>770290.471524516</v>
      </c>
    </row>
    <row r="650" spans="2:2" x14ac:dyDescent="0.3">
      <c r="B650">
        <v>1265928.0070583399</v>
      </c>
    </row>
    <row r="651" spans="2:2" x14ac:dyDescent="0.3">
      <c r="B651">
        <v>1038695.66304942</v>
      </c>
    </row>
    <row r="652" spans="2:2" x14ac:dyDescent="0.3">
      <c r="B652">
        <v>247770.45576189199</v>
      </c>
    </row>
    <row r="653" spans="2:2" x14ac:dyDescent="0.3">
      <c r="B653">
        <v>1047919.63867464</v>
      </c>
    </row>
    <row r="654" spans="2:2" x14ac:dyDescent="0.3">
      <c r="B654">
        <v>-663793.32820877898</v>
      </c>
    </row>
    <row r="655" spans="2:2" x14ac:dyDescent="0.3">
      <c r="B655">
        <v>878457.63767112698</v>
      </c>
    </row>
    <row r="656" spans="2:2" x14ac:dyDescent="0.3">
      <c r="B656">
        <v>597194.02008058794</v>
      </c>
    </row>
    <row r="657" spans="2:2" x14ac:dyDescent="0.3">
      <c r="B657">
        <v>-663735.464635693</v>
      </c>
    </row>
    <row r="658" spans="2:2" x14ac:dyDescent="0.3">
      <c r="B658">
        <v>375506.777121594</v>
      </c>
    </row>
    <row r="659" spans="2:2" x14ac:dyDescent="0.3">
      <c r="B659">
        <v>-9536.6690537465693</v>
      </c>
    </row>
    <row r="660" spans="2:2" x14ac:dyDescent="0.3">
      <c r="B660">
        <v>2091350.8279873501</v>
      </c>
    </row>
    <row r="661" spans="2:2" x14ac:dyDescent="0.3">
      <c r="B661">
        <v>-858781.12539806904</v>
      </c>
    </row>
    <row r="662" spans="2:2" x14ac:dyDescent="0.3">
      <c r="B662">
        <v>-46333.320652734197</v>
      </c>
    </row>
    <row r="663" spans="2:2" x14ac:dyDescent="0.3">
      <c r="B663">
        <v>647383.70557580097</v>
      </c>
    </row>
    <row r="664" spans="2:2" x14ac:dyDescent="0.3">
      <c r="B664">
        <v>170651.37523684101</v>
      </c>
    </row>
    <row r="665" spans="2:2" x14ac:dyDescent="0.3">
      <c r="B665">
        <v>1632527.87046271</v>
      </c>
    </row>
    <row r="666" spans="2:2" x14ac:dyDescent="0.3">
      <c r="B666">
        <v>-610617.57372853404</v>
      </c>
    </row>
    <row r="667" spans="2:2" x14ac:dyDescent="0.3">
      <c r="B667">
        <v>-569314.18247056694</v>
      </c>
    </row>
    <row r="668" spans="2:2" x14ac:dyDescent="0.3">
      <c r="B668">
        <v>142377.49610825599</v>
      </c>
    </row>
    <row r="669" spans="2:2" x14ac:dyDescent="0.3">
      <c r="B669">
        <v>696614.53623501398</v>
      </c>
    </row>
    <row r="670" spans="2:2" x14ac:dyDescent="0.3">
      <c r="B670">
        <v>1631857.9700291301</v>
      </c>
    </row>
    <row r="671" spans="2:2" x14ac:dyDescent="0.3">
      <c r="B671">
        <v>1007319.13995768</v>
      </c>
    </row>
    <row r="672" spans="2:2" x14ac:dyDescent="0.3">
      <c r="B672">
        <v>1048826.1076871499</v>
      </c>
    </row>
    <row r="673" spans="2:2" x14ac:dyDescent="0.3">
      <c r="B673">
        <v>-504772.17001363402</v>
      </c>
    </row>
    <row r="674" spans="2:2" x14ac:dyDescent="0.3">
      <c r="B674">
        <v>117504.765243916</v>
      </c>
    </row>
    <row r="675" spans="2:2" x14ac:dyDescent="0.3">
      <c r="B675">
        <v>-433275.715954635</v>
      </c>
    </row>
    <row r="676" spans="2:2" x14ac:dyDescent="0.3">
      <c r="B676">
        <v>151682.94957205499</v>
      </c>
    </row>
    <row r="677" spans="2:2" x14ac:dyDescent="0.3">
      <c r="B677">
        <v>2538981.1540403999</v>
      </c>
    </row>
    <row r="678" spans="2:2" x14ac:dyDescent="0.3">
      <c r="B678">
        <v>-392237.48250929202</v>
      </c>
    </row>
    <row r="679" spans="2:2" x14ac:dyDescent="0.3">
      <c r="B679">
        <v>540267.47100058803</v>
      </c>
    </row>
    <row r="680" spans="2:2" x14ac:dyDescent="0.3">
      <c r="B680">
        <v>-272724.46700733202</v>
      </c>
    </row>
    <row r="681" spans="2:2" x14ac:dyDescent="0.3">
      <c r="B681">
        <v>-953841.30132673995</v>
      </c>
    </row>
    <row r="682" spans="2:2" x14ac:dyDescent="0.3">
      <c r="B682">
        <v>-1710309.90552238</v>
      </c>
    </row>
    <row r="683" spans="2:2" x14ac:dyDescent="0.3">
      <c r="B683">
        <v>1714395.5922582101</v>
      </c>
    </row>
    <row r="684" spans="2:2" x14ac:dyDescent="0.3">
      <c r="B684">
        <v>-995128.83102995402</v>
      </c>
    </row>
    <row r="685" spans="2:2" x14ac:dyDescent="0.3">
      <c r="B685">
        <v>1599705.73214024</v>
      </c>
    </row>
    <row r="686" spans="2:2" x14ac:dyDescent="0.3">
      <c r="B686">
        <v>-2306408.9645716301</v>
      </c>
    </row>
    <row r="687" spans="2:2" x14ac:dyDescent="0.3">
      <c r="B687">
        <v>-180463.58042646301</v>
      </c>
    </row>
    <row r="688" spans="2:2" x14ac:dyDescent="0.3">
      <c r="B688">
        <v>1501286.5305210601</v>
      </c>
    </row>
    <row r="689" spans="2:2" x14ac:dyDescent="0.3">
      <c r="B689">
        <v>-2158654.9891084</v>
      </c>
    </row>
    <row r="690" spans="2:2" x14ac:dyDescent="0.3">
      <c r="B690">
        <v>242295.95198714701</v>
      </c>
    </row>
    <row r="691" spans="2:2" x14ac:dyDescent="0.3">
      <c r="B691">
        <v>-79972.565255495894</v>
      </c>
    </row>
    <row r="692" spans="2:2" x14ac:dyDescent="0.3">
      <c r="B692">
        <v>1371947.8158716101</v>
      </c>
    </row>
    <row r="693" spans="2:2" x14ac:dyDescent="0.3">
      <c r="B693">
        <v>618868.41898780596</v>
      </c>
    </row>
    <row r="694" spans="2:2" x14ac:dyDescent="0.3">
      <c r="B694">
        <v>516025.61333915498</v>
      </c>
    </row>
    <row r="695" spans="2:2" x14ac:dyDescent="0.3">
      <c r="B695">
        <v>1021706.8715504101</v>
      </c>
    </row>
    <row r="696" spans="2:2" x14ac:dyDescent="0.3">
      <c r="B696">
        <v>1288362.10513176</v>
      </c>
    </row>
    <row r="697" spans="2:2" x14ac:dyDescent="0.3">
      <c r="B697">
        <v>-830184.13363061403</v>
      </c>
    </row>
    <row r="698" spans="2:2" x14ac:dyDescent="0.3">
      <c r="B698">
        <v>648946.21854889905</v>
      </c>
    </row>
    <row r="699" spans="2:2" x14ac:dyDescent="0.3">
      <c r="B699">
        <v>-993208.30920115404</v>
      </c>
    </row>
    <row r="700" spans="2:2" x14ac:dyDescent="0.3">
      <c r="B700">
        <v>-551716.90266279795</v>
      </c>
    </row>
    <row r="701" spans="2:2" x14ac:dyDescent="0.3">
      <c r="B701">
        <v>1309031.8672738001</v>
      </c>
    </row>
    <row r="702" spans="2:2" x14ac:dyDescent="0.3">
      <c r="B702">
        <v>391101.82923272101</v>
      </c>
    </row>
    <row r="703" spans="2:2" x14ac:dyDescent="0.3">
      <c r="B703">
        <v>-756265.88696438295</v>
      </c>
    </row>
    <row r="704" spans="2:2" x14ac:dyDescent="0.3">
      <c r="B704">
        <v>-1167949.44372253</v>
      </c>
    </row>
    <row r="705" spans="2:2" x14ac:dyDescent="0.3">
      <c r="B705">
        <v>-497737.54477495397</v>
      </c>
    </row>
    <row r="706" spans="2:2" x14ac:dyDescent="0.3">
      <c r="B706">
        <v>-1274783.6163307701</v>
      </c>
    </row>
    <row r="707" spans="2:2" x14ac:dyDescent="0.3">
      <c r="B707">
        <v>295008.23076498503</v>
      </c>
    </row>
    <row r="708" spans="2:2" x14ac:dyDescent="0.3">
      <c r="B708">
        <v>-631543.46575316903</v>
      </c>
    </row>
    <row r="709" spans="2:2" x14ac:dyDescent="0.3">
      <c r="B709">
        <v>186914.841538268</v>
      </c>
    </row>
    <row r="710" spans="2:2" x14ac:dyDescent="0.3">
      <c r="B710">
        <v>-502395.32814939501</v>
      </c>
    </row>
    <row r="711" spans="2:2" x14ac:dyDescent="0.3">
      <c r="B711">
        <v>319716.33497938397</v>
      </c>
    </row>
    <row r="712" spans="2:2" x14ac:dyDescent="0.3">
      <c r="B712">
        <v>-743209.781229074</v>
      </c>
    </row>
    <row r="713" spans="2:2" x14ac:dyDescent="0.3">
      <c r="B713">
        <v>-78188.585802284302</v>
      </c>
    </row>
    <row r="714" spans="2:2" x14ac:dyDescent="0.3">
      <c r="B714">
        <v>-645721.16592401499</v>
      </c>
    </row>
    <row r="715" spans="2:2" x14ac:dyDescent="0.3">
      <c r="B715">
        <v>-1411167.6150106799</v>
      </c>
    </row>
    <row r="716" spans="2:2" x14ac:dyDescent="0.3">
      <c r="B716">
        <v>-2949339.2606856902</v>
      </c>
    </row>
    <row r="717" spans="2:2" x14ac:dyDescent="0.3">
      <c r="B717">
        <v>1013138.57627501</v>
      </c>
    </row>
    <row r="718" spans="2:2" x14ac:dyDescent="0.3">
      <c r="B718">
        <v>453853.48911216401</v>
      </c>
    </row>
    <row r="719" spans="2:2" x14ac:dyDescent="0.3">
      <c r="B719">
        <v>-405330.618270954</v>
      </c>
    </row>
    <row r="720" spans="2:2" x14ac:dyDescent="0.3">
      <c r="B720">
        <v>-543324.93958551995</v>
      </c>
    </row>
    <row r="721" spans="2:2" x14ac:dyDescent="0.3">
      <c r="B721">
        <v>1056734.96314266</v>
      </c>
    </row>
    <row r="722" spans="2:2" x14ac:dyDescent="0.3">
      <c r="B722">
        <v>695027.110833782</v>
      </c>
    </row>
    <row r="723" spans="2:2" x14ac:dyDescent="0.3">
      <c r="B723">
        <v>-1230241.90865626</v>
      </c>
    </row>
    <row r="724" spans="2:2" x14ac:dyDescent="0.3">
      <c r="B724">
        <v>-2365953.0565375299</v>
      </c>
    </row>
    <row r="725" spans="2:2" x14ac:dyDescent="0.3">
      <c r="B725">
        <v>1350976.84005576</v>
      </c>
    </row>
    <row r="726" spans="2:2" x14ac:dyDescent="0.3">
      <c r="B726">
        <v>708816.29840377904</v>
      </c>
    </row>
    <row r="727" spans="2:2" x14ac:dyDescent="0.3">
      <c r="B727">
        <v>-326881.08251823601</v>
      </c>
    </row>
    <row r="728" spans="2:2" x14ac:dyDescent="0.3">
      <c r="B728">
        <v>-1069899.2414481</v>
      </c>
    </row>
    <row r="729" spans="2:2" x14ac:dyDescent="0.3">
      <c r="B729">
        <v>534614.212884804</v>
      </c>
    </row>
    <row r="730" spans="2:2" x14ac:dyDescent="0.3">
      <c r="B730">
        <v>2490614.4510268499</v>
      </c>
    </row>
    <row r="731" spans="2:2" x14ac:dyDescent="0.3">
      <c r="B731">
        <v>-109683.842175873</v>
      </c>
    </row>
    <row r="732" spans="2:2" x14ac:dyDescent="0.3">
      <c r="B732">
        <v>-387530.21709361399</v>
      </c>
    </row>
    <row r="733" spans="2:2" x14ac:dyDescent="0.3">
      <c r="B733">
        <v>314671.520942009</v>
      </c>
    </row>
    <row r="734" spans="2:2" x14ac:dyDescent="0.3">
      <c r="B734">
        <v>278807.83832413203</v>
      </c>
    </row>
    <row r="735" spans="2:2" x14ac:dyDescent="0.3">
      <c r="B735">
        <v>1311099.65763749</v>
      </c>
    </row>
    <row r="736" spans="2:2" x14ac:dyDescent="0.3">
      <c r="B736">
        <v>-537368.30020136596</v>
      </c>
    </row>
    <row r="737" spans="2:2" x14ac:dyDescent="0.3">
      <c r="B737">
        <v>431293.348278397</v>
      </c>
    </row>
    <row r="738" spans="2:2" x14ac:dyDescent="0.3">
      <c r="B738">
        <v>-787731.48646528996</v>
      </c>
    </row>
    <row r="739" spans="2:2" x14ac:dyDescent="0.3">
      <c r="B739">
        <v>-1933959.7585875001</v>
      </c>
    </row>
    <row r="740" spans="2:2" x14ac:dyDescent="0.3">
      <c r="B740">
        <v>1164603.2668145101</v>
      </c>
    </row>
    <row r="741" spans="2:2" x14ac:dyDescent="0.3">
      <c r="B741">
        <v>673015.28002211696</v>
      </c>
    </row>
    <row r="742" spans="2:2" x14ac:dyDescent="0.3">
      <c r="B742">
        <v>107665.132209007</v>
      </c>
    </row>
    <row r="743" spans="2:2" x14ac:dyDescent="0.3">
      <c r="B743">
        <v>1368476.07168276</v>
      </c>
    </row>
    <row r="744" spans="2:2" x14ac:dyDescent="0.3">
      <c r="B744">
        <v>-836793.50242738205</v>
      </c>
    </row>
    <row r="745" spans="2:2" x14ac:dyDescent="0.3">
      <c r="B745">
        <v>-268627.68585280399</v>
      </c>
    </row>
    <row r="746" spans="2:2" x14ac:dyDescent="0.3">
      <c r="B746">
        <v>1521894.2225383299</v>
      </c>
    </row>
    <row r="747" spans="2:2" x14ac:dyDescent="0.3">
      <c r="B747">
        <v>1459444.95923283</v>
      </c>
    </row>
    <row r="748" spans="2:2" x14ac:dyDescent="0.3">
      <c r="B748">
        <v>1028682.09053889</v>
      </c>
    </row>
    <row r="749" spans="2:2" x14ac:dyDescent="0.3">
      <c r="B749">
        <v>1314283.0257433699</v>
      </c>
    </row>
    <row r="750" spans="2:2" x14ac:dyDescent="0.3">
      <c r="B750">
        <v>-76125.140569219293</v>
      </c>
    </row>
    <row r="751" spans="2:2" x14ac:dyDescent="0.3">
      <c r="B751">
        <v>745763.71417068294</v>
      </c>
    </row>
    <row r="752" spans="2:2" x14ac:dyDescent="0.3">
      <c r="B752">
        <v>1279449.8927156699</v>
      </c>
    </row>
    <row r="753" spans="2:2" x14ac:dyDescent="0.3">
      <c r="B753">
        <v>3479065.5567742698</v>
      </c>
    </row>
    <row r="754" spans="2:2" x14ac:dyDescent="0.3">
      <c r="B754">
        <v>-726939.16680755105</v>
      </c>
    </row>
    <row r="755" spans="2:2" x14ac:dyDescent="0.3">
      <c r="B755">
        <v>267660.67864303099</v>
      </c>
    </row>
    <row r="756" spans="2:2" x14ac:dyDescent="0.3">
      <c r="B756">
        <v>-219392.14123304101</v>
      </c>
    </row>
    <row r="757" spans="2:2" x14ac:dyDescent="0.3">
      <c r="B757">
        <v>-1116241.8326002499</v>
      </c>
    </row>
    <row r="758" spans="2:2" x14ac:dyDescent="0.3">
      <c r="B758">
        <v>2667825.0430687801</v>
      </c>
    </row>
    <row r="759" spans="2:2" x14ac:dyDescent="0.3">
      <c r="B759">
        <v>1079142.9695073699</v>
      </c>
    </row>
    <row r="760" spans="2:2" x14ac:dyDescent="0.3">
      <c r="B760">
        <v>1156695.9245323101</v>
      </c>
    </row>
    <row r="761" spans="2:2" x14ac:dyDescent="0.3">
      <c r="B761">
        <v>-1618881.2125490401</v>
      </c>
    </row>
    <row r="762" spans="2:2" x14ac:dyDescent="0.3">
      <c r="B762">
        <v>-1700487.78865103</v>
      </c>
    </row>
    <row r="763" spans="2:2" x14ac:dyDescent="0.3">
      <c r="B763">
        <v>-571783.54739941598</v>
      </c>
    </row>
    <row r="764" spans="2:2" x14ac:dyDescent="0.3">
      <c r="B764">
        <v>-1737860.3204932399</v>
      </c>
    </row>
    <row r="765" spans="2:2" x14ac:dyDescent="0.3">
      <c r="B765">
        <v>1796799.84058928</v>
      </c>
    </row>
    <row r="766" spans="2:2" x14ac:dyDescent="0.3">
      <c r="B766">
        <v>-1538900.6841969399</v>
      </c>
    </row>
    <row r="767" spans="2:2" x14ac:dyDescent="0.3">
      <c r="B767">
        <v>-1746235.1466935801</v>
      </c>
    </row>
    <row r="768" spans="2:2" x14ac:dyDescent="0.3">
      <c r="B768">
        <v>884060.19842180901</v>
      </c>
    </row>
    <row r="769" spans="2:2" x14ac:dyDescent="0.3">
      <c r="B769">
        <v>2234526.2330754399</v>
      </c>
    </row>
    <row r="770" spans="2:2" x14ac:dyDescent="0.3">
      <c r="B770">
        <v>-718639.66760451405</v>
      </c>
    </row>
    <row r="771" spans="2:2" x14ac:dyDescent="0.3">
      <c r="B771">
        <v>-468959.04377248802</v>
      </c>
    </row>
    <row r="772" spans="2:2" x14ac:dyDescent="0.3">
      <c r="B772">
        <v>-1378640.7823387</v>
      </c>
    </row>
    <row r="773" spans="2:2" x14ac:dyDescent="0.3">
      <c r="B773">
        <v>-306194.45981760498</v>
      </c>
    </row>
    <row r="774" spans="2:2" x14ac:dyDescent="0.3">
      <c r="B774">
        <v>-242600.48317505699</v>
      </c>
    </row>
    <row r="775" spans="2:2" x14ac:dyDescent="0.3">
      <c r="B775">
        <v>-57178.905377085102</v>
      </c>
    </row>
    <row r="776" spans="2:2" x14ac:dyDescent="0.3">
      <c r="B776">
        <v>-890291.59599381103</v>
      </c>
    </row>
    <row r="777" spans="2:2" x14ac:dyDescent="0.3">
      <c r="B777">
        <v>-231220.32313962901</v>
      </c>
    </row>
    <row r="778" spans="2:2" x14ac:dyDescent="0.3">
      <c r="B778">
        <v>-327673.62149372202</v>
      </c>
    </row>
    <row r="779" spans="2:2" x14ac:dyDescent="0.3">
      <c r="B779">
        <v>2103875.3979013101</v>
      </c>
    </row>
    <row r="780" spans="2:2" x14ac:dyDescent="0.3">
      <c r="B780">
        <v>3140.4804472247802</v>
      </c>
    </row>
    <row r="781" spans="2:2" x14ac:dyDescent="0.3">
      <c r="B781">
        <v>-1516083.84237439</v>
      </c>
    </row>
    <row r="782" spans="2:2" x14ac:dyDescent="0.3">
      <c r="B782">
        <v>-1280034.2866997099</v>
      </c>
    </row>
    <row r="783" spans="2:2" x14ac:dyDescent="0.3">
      <c r="B783">
        <v>212792.946856355</v>
      </c>
    </row>
    <row r="784" spans="2:2" x14ac:dyDescent="0.3">
      <c r="B784">
        <v>115173.097217306</v>
      </c>
    </row>
    <row r="785" spans="2:2" x14ac:dyDescent="0.3">
      <c r="B785">
        <v>-1253301.5445622001</v>
      </c>
    </row>
    <row r="786" spans="2:2" x14ac:dyDescent="0.3">
      <c r="B786">
        <v>251856.840119117</v>
      </c>
    </row>
    <row r="787" spans="2:2" x14ac:dyDescent="0.3">
      <c r="B787">
        <v>3035721.2842349601</v>
      </c>
    </row>
    <row r="788" spans="2:2" x14ac:dyDescent="0.3">
      <c r="B788">
        <v>-2227128.95379085</v>
      </c>
    </row>
    <row r="789" spans="2:2" x14ac:dyDescent="0.3">
      <c r="B789">
        <v>1355837.19841398</v>
      </c>
    </row>
    <row r="790" spans="2:2" x14ac:dyDescent="0.3">
      <c r="B790">
        <v>-3428008.6773899202</v>
      </c>
    </row>
    <row r="791" spans="2:2" x14ac:dyDescent="0.3">
      <c r="B791">
        <v>613273.081676114</v>
      </c>
    </row>
    <row r="792" spans="2:2" x14ac:dyDescent="0.3">
      <c r="B792">
        <v>1610873.2557383301</v>
      </c>
    </row>
    <row r="793" spans="2:2" x14ac:dyDescent="0.3">
      <c r="B793">
        <v>-1274769.4076552601</v>
      </c>
    </row>
    <row r="794" spans="2:2" x14ac:dyDescent="0.3">
      <c r="B794">
        <v>-417903.68958524201</v>
      </c>
    </row>
    <row r="795" spans="2:2" x14ac:dyDescent="0.3">
      <c r="B795">
        <v>23454.512529509699</v>
      </c>
    </row>
    <row r="796" spans="2:2" x14ac:dyDescent="0.3">
      <c r="B796">
        <v>2141589.4529283601</v>
      </c>
    </row>
    <row r="797" spans="2:2" x14ac:dyDescent="0.3">
      <c r="B797">
        <v>1185790.05538969</v>
      </c>
    </row>
    <row r="798" spans="2:2" x14ac:dyDescent="0.3">
      <c r="B798">
        <v>-940592.479027914</v>
      </c>
    </row>
    <row r="799" spans="2:2" x14ac:dyDescent="0.3">
      <c r="B799">
        <v>-399517.11074307503</v>
      </c>
    </row>
    <row r="800" spans="2:2" x14ac:dyDescent="0.3">
      <c r="B800">
        <v>1683352.7120269199</v>
      </c>
    </row>
    <row r="801" spans="2:2" x14ac:dyDescent="0.3">
      <c r="B801">
        <v>311629.79121902201</v>
      </c>
    </row>
    <row r="802" spans="2:2" x14ac:dyDescent="0.3">
      <c r="B802">
        <v>223392.859171024</v>
      </c>
    </row>
    <row r="803" spans="2:2" x14ac:dyDescent="0.3">
      <c r="B803">
        <v>1608760.2183627901</v>
      </c>
    </row>
    <row r="804" spans="2:2" x14ac:dyDescent="0.3">
      <c r="B804">
        <v>269916.87870107102</v>
      </c>
    </row>
    <row r="805" spans="2:2" x14ac:dyDescent="0.3">
      <c r="B805">
        <v>637649.29570423102</v>
      </c>
    </row>
    <row r="806" spans="2:2" x14ac:dyDescent="0.3">
      <c r="B806">
        <v>2593493.5299367802</v>
      </c>
    </row>
    <row r="807" spans="2:2" x14ac:dyDescent="0.3">
      <c r="B807">
        <v>-1251432.3455411501</v>
      </c>
    </row>
    <row r="808" spans="2:2" x14ac:dyDescent="0.3">
      <c r="B808">
        <v>408587.588950495</v>
      </c>
    </row>
    <row r="809" spans="2:2" x14ac:dyDescent="0.3">
      <c r="B809">
        <v>-6826.7503211564099</v>
      </c>
    </row>
    <row r="810" spans="2:2" x14ac:dyDescent="0.3">
      <c r="B810">
        <v>-923979.14936207095</v>
      </c>
    </row>
    <row r="811" spans="2:2" x14ac:dyDescent="0.3">
      <c r="B811">
        <v>356848.61770038703</v>
      </c>
    </row>
    <row r="812" spans="2:2" x14ac:dyDescent="0.3">
      <c r="B812">
        <v>2068352.22878592</v>
      </c>
    </row>
    <row r="813" spans="2:2" x14ac:dyDescent="0.3">
      <c r="B813">
        <v>158125.11863148099</v>
      </c>
    </row>
    <row r="814" spans="2:2" x14ac:dyDescent="0.3">
      <c r="B814">
        <v>1014929.51469505</v>
      </c>
    </row>
    <row r="815" spans="2:2" x14ac:dyDescent="0.3">
      <c r="B815">
        <v>19375.088688211599</v>
      </c>
    </row>
    <row r="816" spans="2:2" x14ac:dyDescent="0.3">
      <c r="B816">
        <v>898084.11810792505</v>
      </c>
    </row>
    <row r="817" spans="2:2" x14ac:dyDescent="0.3">
      <c r="B817">
        <v>-2661907.3408230902</v>
      </c>
    </row>
    <row r="818" spans="2:2" x14ac:dyDescent="0.3">
      <c r="B818">
        <v>-1090241.0730578001</v>
      </c>
    </row>
    <row r="819" spans="2:2" x14ac:dyDescent="0.3">
      <c r="B819">
        <v>552963.26128653705</v>
      </c>
    </row>
    <row r="820" spans="2:2" x14ac:dyDescent="0.3">
      <c r="B820">
        <v>287408.34660687897</v>
      </c>
    </row>
    <row r="821" spans="2:2" x14ac:dyDescent="0.3">
      <c r="B821">
        <v>1872498.65021207</v>
      </c>
    </row>
    <row r="822" spans="2:2" x14ac:dyDescent="0.3">
      <c r="B822">
        <v>2204087.8377756202</v>
      </c>
    </row>
    <row r="823" spans="2:2" x14ac:dyDescent="0.3">
      <c r="B823">
        <v>2052575.8910183599</v>
      </c>
    </row>
    <row r="824" spans="2:2" x14ac:dyDescent="0.3">
      <c r="B824">
        <v>28133.201632593999</v>
      </c>
    </row>
    <row r="825" spans="2:2" x14ac:dyDescent="0.3">
      <c r="B825">
        <v>222318.87777141301</v>
      </c>
    </row>
    <row r="826" spans="2:2" x14ac:dyDescent="0.3">
      <c r="B826">
        <v>-400166.394310812</v>
      </c>
    </row>
    <row r="827" spans="2:2" x14ac:dyDescent="0.3">
      <c r="B827">
        <v>571787.70205934695</v>
      </c>
    </row>
    <row r="828" spans="2:2" x14ac:dyDescent="0.3">
      <c r="B828">
        <v>-1221294.0107481</v>
      </c>
    </row>
    <row r="829" spans="2:2" x14ac:dyDescent="0.3">
      <c r="B829">
        <v>1132910.2383368199</v>
      </c>
    </row>
    <row r="830" spans="2:2" x14ac:dyDescent="0.3">
      <c r="B830">
        <v>142145.88581115601</v>
      </c>
    </row>
    <row r="831" spans="2:2" x14ac:dyDescent="0.3">
      <c r="B831">
        <v>-1459318.6829009999</v>
      </c>
    </row>
    <row r="832" spans="2:2" x14ac:dyDescent="0.3">
      <c r="B832">
        <v>-936528.77538925805</v>
      </c>
    </row>
    <row r="833" spans="2:2" x14ac:dyDescent="0.3">
      <c r="B833">
        <v>183793.03197354299</v>
      </c>
    </row>
    <row r="834" spans="2:2" x14ac:dyDescent="0.3">
      <c r="B834">
        <v>1006652.60468623</v>
      </c>
    </row>
    <row r="835" spans="2:2" x14ac:dyDescent="0.3">
      <c r="B835">
        <v>-1696668.2906160301</v>
      </c>
    </row>
    <row r="836" spans="2:2" x14ac:dyDescent="0.3">
      <c r="B836">
        <v>-1617332.5841947999</v>
      </c>
    </row>
    <row r="837" spans="2:2" x14ac:dyDescent="0.3">
      <c r="B837">
        <v>-1656365.28673989</v>
      </c>
    </row>
    <row r="838" spans="2:2" x14ac:dyDescent="0.3">
      <c r="B838">
        <v>-885875.03498171596</v>
      </c>
    </row>
    <row r="839" spans="2:2" x14ac:dyDescent="0.3">
      <c r="B839">
        <v>-2204061.4976049298</v>
      </c>
    </row>
    <row r="840" spans="2:2" x14ac:dyDescent="0.3">
      <c r="B840">
        <v>25900.511424122498</v>
      </c>
    </row>
    <row r="841" spans="2:2" x14ac:dyDescent="0.3">
      <c r="B841">
        <v>-1535824.9270122701</v>
      </c>
    </row>
    <row r="842" spans="2:2" x14ac:dyDescent="0.3">
      <c r="B842">
        <v>-211643.468043742</v>
      </c>
    </row>
    <row r="843" spans="2:2" x14ac:dyDescent="0.3">
      <c r="B843">
        <v>1812612.8505166401</v>
      </c>
    </row>
    <row r="844" spans="2:2" x14ac:dyDescent="0.3">
      <c r="B844">
        <v>-31165.458125639201</v>
      </c>
    </row>
    <row r="845" spans="2:2" x14ac:dyDescent="0.3">
      <c r="B845">
        <v>243631.04062908501</v>
      </c>
    </row>
    <row r="846" spans="2:2" x14ac:dyDescent="0.3">
      <c r="B846">
        <v>-318662.94135826599</v>
      </c>
    </row>
    <row r="847" spans="2:2" x14ac:dyDescent="0.3">
      <c r="B847">
        <v>-655596.27142131701</v>
      </c>
    </row>
    <row r="848" spans="2:2" x14ac:dyDescent="0.3">
      <c r="B848">
        <v>-1059210.1698147899</v>
      </c>
    </row>
    <row r="849" spans="2:2" x14ac:dyDescent="0.3">
      <c r="B849">
        <v>-579480.022478397</v>
      </c>
    </row>
    <row r="850" spans="2:2" x14ac:dyDescent="0.3">
      <c r="B850">
        <v>283590.12462553702</v>
      </c>
    </row>
    <row r="851" spans="2:2" x14ac:dyDescent="0.3">
      <c r="B851">
        <v>-1836469.7069014099</v>
      </c>
    </row>
    <row r="852" spans="2:2" x14ac:dyDescent="0.3">
      <c r="B852">
        <v>2515281.70806034</v>
      </c>
    </row>
    <row r="853" spans="2:2" x14ac:dyDescent="0.3">
      <c r="B853">
        <v>2982575.4208843298</v>
      </c>
    </row>
    <row r="854" spans="2:2" x14ac:dyDescent="0.3">
      <c r="B854">
        <v>2399349.7459441898</v>
      </c>
    </row>
    <row r="855" spans="2:2" x14ac:dyDescent="0.3">
      <c r="B855">
        <v>-1878425.2578241101</v>
      </c>
    </row>
    <row r="856" spans="2:2" x14ac:dyDescent="0.3">
      <c r="B856">
        <v>-2305311.5286634602</v>
      </c>
    </row>
    <row r="857" spans="2:2" x14ac:dyDescent="0.3">
      <c r="B857">
        <v>1110629.87716645</v>
      </c>
    </row>
    <row r="858" spans="2:2" x14ac:dyDescent="0.3">
      <c r="B858">
        <v>1857244.3650595199</v>
      </c>
    </row>
    <row r="859" spans="2:2" x14ac:dyDescent="0.3">
      <c r="B859">
        <v>-1280316.76606592</v>
      </c>
    </row>
    <row r="860" spans="2:2" x14ac:dyDescent="0.3">
      <c r="B860">
        <v>158162.37418900599</v>
      </c>
    </row>
    <row r="861" spans="2:2" x14ac:dyDescent="0.3">
      <c r="B861">
        <v>600766.408380521</v>
      </c>
    </row>
    <row r="862" spans="2:2" x14ac:dyDescent="0.3">
      <c r="B862">
        <v>1070821.1806711601</v>
      </c>
    </row>
    <row r="863" spans="2:2" x14ac:dyDescent="0.3">
      <c r="B863">
        <v>-783075.480768012</v>
      </c>
    </row>
    <row r="864" spans="2:2" x14ac:dyDescent="0.3">
      <c r="B864">
        <v>-602961.65962938301</v>
      </c>
    </row>
    <row r="865" spans="2:2" x14ac:dyDescent="0.3">
      <c r="B865">
        <v>-956469.75314024906</v>
      </c>
    </row>
    <row r="866" spans="2:2" x14ac:dyDescent="0.3">
      <c r="B866">
        <v>-465682.52856582898</v>
      </c>
    </row>
    <row r="867" spans="2:2" x14ac:dyDescent="0.3">
      <c r="B867">
        <v>662797.52429523296</v>
      </c>
    </row>
    <row r="868" spans="2:2" x14ac:dyDescent="0.3">
      <c r="B868">
        <v>2552736.7054106598</v>
      </c>
    </row>
    <row r="869" spans="2:2" x14ac:dyDescent="0.3">
      <c r="B869">
        <v>-1685467.9992314801</v>
      </c>
    </row>
    <row r="870" spans="2:2" x14ac:dyDescent="0.3">
      <c r="B870">
        <v>-929454.50978389103</v>
      </c>
    </row>
    <row r="871" spans="2:2" x14ac:dyDescent="0.3">
      <c r="B871">
        <v>300941.59103953198</v>
      </c>
    </row>
    <row r="872" spans="2:2" x14ac:dyDescent="0.3">
      <c r="B872">
        <v>2249787.8271941999</v>
      </c>
    </row>
    <row r="873" spans="2:2" x14ac:dyDescent="0.3">
      <c r="B873">
        <v>1284109.3143422401</v>
      </c>
    </row>
    <row r="874" spans="2:2" x14ac:dyDescent="0.3">
      <c r="B874">
        <v>-106810.55267244999</v>
      </c>
    </row>
    <row r="875" spans="2:2" x14ac:dyDescent="0.3">
      <c r="B875">
        <v>-1586096.3910197399</v>
      </c>
    </row>
    <row r="876" spans="2:2" x14ac:dyDescent="0.3">
      <c r="B876">
        <v>-1768025.46058082</v>
      </c>
    </row>
    <row r="877" spans="2:2" x14ac:dyDescent="0.3">
      <c r="B877">
        <v>-531122.37110082305</v>
      </c>
    </row>
    <row r="878" spans="2:2" x14ac:dyDescent="0.3">
      <c r="B878">
        <v>1093635.2795448599</v>
      </c>
    </row>
    <row r="879" spans="2:2" x14ac:dyDescent="0.3">
      <c r="B879">
        <v>1358670.1807727399</v>
      </c>
    </row>
    <row r="880" spans="2:2" x14ac:dyDescent="0.3">
      <c r="B880">
        <v>-1678140.32617122</v>
      </c>
    </row>
    <row r="881" spans="2:2" x14ac:dyDescent="0.3">
      <c r="B881">
        <v>204653.07043478999</v>
      </c>
    </row>
    <row r="882" spans="2:2" x14ac:dyDescent="0.3">
      <c r="B882">
        <v>-499755.15620508097</v>
      </c>
    </row>
    <row r="883" spans="2:2" x14ac:dyDescent="0.3">
      <c r="B883">
        <v>894622.29528974404</v>
      </c>
    </row>
    <row r="884" spans="2:2" x14ac:dyDescent="0.3">
      <c r="B884">
        <v>-1810417.77150018</v>
      </c>
    </row>
    <row r="885" spans="2:2" x14ac:dyDescent="0.3">
      <c r="B885">
        <v>-1981228.13249341</v>
      </c>
    </row>
    <row r="886" spans="2:2" x14ac:dyDescent="0.3">
      <c r="B886">
        <v>-1269510.0002126</v>
      </c>
    </row>
    <row r="887" spans="2:2" x14ac:dyDescent="0.3">
      <c r="B887">
        <v>918630.49493638496</v>
      </c>
    </row>
    <row r="888" spans="2:2" x14ac:dyDescent="0.3">
      <c r="B888">
        <v>321785.595147277</v>
      </c>
    </row>
    <row r="889" spans="2:2" x14ac:dyDescent="0.3">
      <c r="B889">
        <v>1389555.5173558199</v>
      </c>
    </row>
    <row r="890" spans="2:2" x14ac:dyDescent="0.3">
      <c r="B890">
        <v>612275.77631353296</v>
      </c>
    </row>
    <row r="891" spans="2:2" x14ac:dyDescent="0.3">
      <c r="B891">
        <v>510946.22369361302</v>
      </c>
    </row>
    <row r="892" spans="2:2" x14ac:dyDescent="0.3">
      <c r="B892">
        <v>-1197184.58122752</v>
      </c>
    </row>
    <row r="893" spans="2:2" x14ac:dyDescent="0.3">
      <c r="B893">
        <v>-609968.46375015599</v>
      </c>
    </row>
    <row r="894" spans="2:2" x14ac:dyDescent="0.3">
      <c r="B894">
        <v>-1652062.9100302199</v>
      </c>
    </row>
    <row r="895" spans="2:2" x14ac:dyDescent="0.3">
      <c r="B895">
        <v>-900575.63421946601</v>
      </c>
    </row>
    <row r="896" spans="2:2" x14ac:dyDescent="0.3">
      <c r="B896">
        <v>-683240.58845336898</v>
      </c>
    </row>
    <row r="897" spans="2:2" x14ac:dyDescent="0.3">
      <c r="B897">
        <v>445880.71390018798</v>
      </c>
    </row>
    <row r="898" spans="2:2" x14ac:dyDescent="0.3">
      <c r="B898">
        <v>-653471.25578595698</v>
      </c>
    </row>
    <row r="899" spans="2:2" x14ac:dyDescent="0.3">
      <c r="B899">
        <v>1516658.4439314499</v>
      </c>
    </row>
    <row r="900" spans="2:2" x14ac:dyDescent="0.3">
      <c r="B900">
        <v>-2047458.59948347</v>
      </c>
    </row>
    <row r="901" spans="2:2" x14ac:dyDescent="0.3">
      <c r="B901">
        <v>-119585.271410863</v>
      </c>
    </row>
    <row r="902" spans="2:2" x14ac:dyDescent="0.3">
      <c r="B902">
        <v>-866163.49626215198</v>
      </c>
    </row>
    <row r="903" spans="2:2" x14ac:dyDescent="0.3">
      <c r="B903">
        <v>-1456617.9614681799</v>
      </c>
    </row>
    <row r="904" spans="2:2" x14ac:dyDescent="0.3">
      <c r="B904">
        <v>382569.20158373599</v>
      </c>
    </row>
    <row r="905" spans="2:2" x14ac:dyDescent="0.3">
      <c r="B905">
        <v>6047.6529729987697</v>
      </c>
    </row>
    <row r="906" spans="2:2" x14ac:dyDescent="0.3">
      <c r="B906">
        <v>496106.49302405398</v>
      </c>
    </row>
    <row r="907" spans="2:2" x14ac:dyDescent="0.3">
      <c r="B907">
        <v>-158321.610620375</v>
      </c>
    </row>
    <row r="908" spans="2:2" x14ac:dyDescent="0.3">
      <c r="B908">
        <v>-948128.75422969705</v>
      </c>
    </row>
    <row r="909" spans="2:2" x14ac:dyDescent="0.3">
      <c r="B909">
        <v>-1013566.3050341801</v>
      </c>
    </row>
    <row r="910" spans="2:2" x14ac:dyDescent="0.3">
      <c r="B910">
        <v>1110322.75797464</v>
      </c>
    </row>
    <row r="911" spans="2:2" x14ac:dyDescent="0.3">
      <c r="B911">
        <v>-54674.331040629899</v>
      </c>
    </row>
    <row r="912" spans="2:2" x14ac:dyDescent="0.3">
      <c r="B912">
        <v>1609798.5506959299</v>
      </c>
    </row>
    <row r="913" spans="2:2" x14ac:dyDescent="0.3">
      <c r="B913">
        <v>712725.71895340399</v>
      </c>
    </row>
    <row r="914" spans="2:2" x14ac:dyDescent="0.3">
      <c r="B914">
        <v>780200.94661633705</v>
      </c>
    </row>
    <row r="915" spans="2:2" x14ac:dyDescent="0.3">
      <c r="B915">
        <v>-1507159.0737767301</v>
      </c>
    </row>
    <row r="916" spans="2:2" x14ac:dyDescent="0.3">
      <c r="B916">
        <v>1459425.7586079701</v>
      </c>
    </row>
    <row r="917" spans="2:2" x14ac:dyDescent="0.3">
      <c r="B917">
        <v>-1624357.26149441</v>
      </c>
    </row>
    <row r="918" spans="2:2" x14ac:dyDescent="0.3">
      <c r="B918">
        <v>-102043.139314546</v>
      </c>
    </row>
    <row r="919" spans="2:2" x14ac:dyDescent="0.3">
      <c r="B919">
        <v>1019565.87927422</v>
      </c>
    </row>
    <row r="920" spans="2:2" x14ac:dyDescent="0.3">
      <c r="B920">
        <v>-1049936.65532958</v>
      </c>
    </row>
    <row r="921" spans="2:2" x14ac:dyDescent="0.3">
      <c r="B921">
        <v>-835418.27038991905</v>
      </c>
    </row>
    <row r="922" spans="2:2" x14ac:dyDescent="0.3">
      <c r="B922">
        <v>1585525.6155801699</v>
      </c>
    </row>
    <row r="923" spans="2:2" x14ac:dyDescent="0.3">
      <c r="B923">
        <v>-772358.32260892598</v>
      </c>
    </row>
    <row r="924" spans="2:2" x14ac:dyDescent="0.3">
      <c r="B924">
        <v>1849900.0001952699</v>
      </c>
    </row>
    <row r="925" spans="2:2" x14ac:dyDescent="0.3">
      <c r="B925">
        <v>-1363348.9124634999</v>
      </c>
    </row>
    <row r="926" spans="2:2" x14ac:dyDescent="0.3">
      <c r="B926">
        <v>468223.18544519303</v>
      </c>
    </row>
    <row r="927" spans="2:2" x14ac:dyDescent="0.3">
      <c r="B927">
        <v>-2979936.9027531799</v>
      </c>
    </row>
    <row r="928" spans="2:2" x14ac:dyDescent="0.3">
      <c r="B928">
        <v>-578502.72217336996</v>
      </c>
    </row>
    <row r="929" spans="2:2" x14ac:dyDescent="0.3">
      <c r="B929">
        <v>482151.67224347801</v>
      </c>
    </row>
    <row r="930" spans="2:2" x14ac:dyDescent="0.3">
      <c r="B930">
        <v>-517017.19398288202</v>
      </c>
    </row>
    <row r="931" spans="2:2" x14ac:dyDescent="0.3">
      <c r="B931">
        <v>357688.50986353698</v>
      </c>
    </row>
    <row r="932" spans="2:2" x14ac:dyDescent="0.3">
      <c r="B932">
        <v>-1559462.7166661301</v>
      </c>
    </row>
    <row r="933" spans="2:2" x14ac:dyDescent="0.3">
      <c r="B933">
        <v>193010.19676895699</v>
      </c>
    </row>
    <row r="934" spans="2:2" x14ac:dyDescent="0.3">
      <c r="B934">
        <v>-738393.88869159599</v>
      </c>
    </row>
    <row r="935" spans="2:2" x14ac:dyDescent="0.3">
      <c r="B935">
        <v>716879.46068220504</v>
      </c>
    </row>
    <row r="936" spans="2:2" x14ac:dyDescent="0.3">
      <c r="B936">
        <v>-577736.67448427505</v>
      </c>
    </row>
    <row r="937" spans="2:2" x14ac:dyDescent="0.3">
      <c r="B937">
        <v>-242509.019742612</v>
      </c>
    </row>
    <row r="938" spans="2:2" x14ac:dyDescent="0.3">
      <c r="B938">
        <v>232067.34211660601</v>
      </c>
    </row>
    <row r="939" spans="2:2" x14ac:dyDescent="0.3">
      <c r="B939">
        <v>736085.32879773201</v>
      </c>
    </row>
    <row r="940" spans="2:2" x14ac:dyDescent="0.3">
      <c r="B940">
        <v>491087.84684770799</v>
      </c>
    </row>
    <row r="941" spans="2:2" x14ac:dyDescent="0.3">
      <c r="B941">
        <v>-1364023.93674256</v>
      </c>
    </row>
    <row r="942" spans="2:2" x14ac:dyDescent="0.3">
      <c r="B942">
        <v>1897687.33575247</v>
      </c>
    </row>
    <row r="943" spans="2:2" x14ac:dyDescent="0.3">
      <c r="B943">
        <v>1432104.8697188401</v>
      </c>
    </row>
    <row r="944" spans="2:2" x14ac:dyDescent="0.3">
      <c r="B944">
        <v>-2395134.28630355</v>
      </c>
    </row>
    <row r="945" spans="2:2" x14ac:dyDescent="0.3">
      <c r="B945">
        <v>-2638727.9603043301</v>
      </c>
    </row>
    <row r="946" spans="2:2" x14ac:dyDescent="0.3">
      <c r="B946">
        <v>-963940.63008844701</v>
      </c>
    </row>
    <row r="947" spans="2:2" x14ac:dyDescent="0.3">
      <c r="B947">
        <v>-84013.543354722904</v>
      </c>
    </row>
    <row r="948" spans="2:2" x14ac:dyDescent="0.3">
      <c r="B948">
        <v>-1427434.40812552</v>
      </c>
    </row>
    <row r="949" spans="2:2" x14ac:dyDescent="0.3">
      <c r="B949">
        <v>-1648886.61971394</v>
      </c>
    </row>
    <row r="950" spans="2:2" x14ac:dyDescent="0.3">
      <c r="B950">
        <v>1360743.6364672801</v>
      </c>
    </row>
    <row r="951" spans="2:2" x14ac:dyDescent="0.3">
      <c r="B951">
        <v>361108.78302833601</v>
      </c>
    </row>
    <row r="952" spans="2:2" x14ac:dyDescent="0.3">
      <c r="B952">
        <v>-532916.77235287498</v>
      </c>
    </row>
    <row r="953" spans="2:2" x14ac:dyDescent="0.3">
      <c r="B953">
        <v>-385922.13353933999</v>
      </c>
    </row>
    <row r="954" spans="2:2" x14ac:dyDescent="0.3">
      <c r="B954">
        <v>115044.436760533</v>
      </c>
    </row>
    <row r="955" spans="2:2" x14ac:dyDescent="0.3">
      <c r="B955">
        <v>1530123.22144598</v>
      </c>
    </row>
    <row r="956" spans="2:2" x14ac:dyDescent="0.3">
      <c r="B956">
        <v>403024.14011826401</v>
      </c>
    </row>
    <row r="957" spans="2:2" x14ac:dyDescent="0.3">
      <c r="B957">
        <v>1208763.3683684</v>
      </c>
    </row>
    <row r="958" spans="2:2" x14ac:dyDescent="0.3">
      <c r="B958">
        <v>149759.069264944</v>
      </c>
    </row>
    <row r="959" spans="2:2" x14ac:dyDescent="0.3">
      <c r="B959">
        <v>1709833.64672254</v>
      </c>
    </row>
    <row r="960" spans="2:2" x14ac:dyDescent="0.3">
      <c r="B960">
        <v>889900.25678725506</v>
      </c>
    </row>
    <row r="961" spans="2:2" x14ac:dyDescent="0.3">
      <c r="B961">
        <v>887729.86949210498</v>
      </c>
    </row>
    <row r="962" spans="2:2" x14ac:dyDescent="0.3">
      <c r="B962">
        <v>-821777.95875665301</v>
      </c>
    </row>
    <row r="963" spans="2:2" x14ac:dyDescent="0.3">
      <c r="B963">
        <v>-1434908.02045796</v>
      </c>
    </row>
    <row r="964" spans="2:2" x14ac:dyDescent="0.3">
      <c r="B964">
        <v>-600242.081880001</v>
      </c>
    </row>
    <row r="965" spans="2:2" x14ac:dyDescent="0.3">
      <c r="B965">
        <v>601958.24594183394</v>
      </c>
    </row>
    <row r="966" spans="2:2" x14ac:dyDescent="0.3">
      <c r="B966">
        <v>483241.58572957298</v>
      </c>
    </row>
    <row r="967" spans="2:2" x14ac:dyDescent="0.3">
      <c r="B967">
        <v>1345590.71854436</v>
      </c>
    </row>
    <row r="968" spans="2:2" x14ac:dyDescent="0.3">
      <c r="B968">
        <v>1048693.44406784</v>
      </c>
    </row>
    <row r="969" spans="2:2" x14ac:dyDescent="0.3">
      <c r="B969">
        <v>1774433.2576003999</v>
      </c>
    </row>
    <row r="970" spans="2:2" x14ac:dyDescent="0.3">
      <c r="B970">
        <v>267401.48114664201</v>
      </c>
    </row>
    <row r="971" spans="2:2" x14ac:dyDescent="0.3">
      <c r="B971">
        <v>239711.97600236101</v>
      </c>
    </row>
    <row r="972" spans="2:2" x14ac:dyDescent="0.3">
      <c r="B972">
        <v>71578.922455140797</v>
      </c>
    </row>
    <row r="973" spans="2:2" x14ac:dyDescent="0.3">
      <c r="B973">
        <v>2630488.3678182899</v>
      </c>
    </row>
    <row r="974" spans="2:2" x14ac:dyDescent="0.3">
      <c r="B974">
        <v>-2207389.9355176701</v>
      </c>
    </row>
    <row r="975" spans="2:2" x14ac:dyDescent="0.3">
      <c r="B975">
        <v>-930948.45434157399</v>
      </c>
    </row>
    <row r="976" spans="2:2" x14ac:dyDescent="0.3">
      <c r="B976">
        <v>2133837.7487613698</v>
      </c>
    </row>
    <row r="977" spans="2:2" x14ac:dyDescent="0.3">
      <c r="B977">
        <v>-1401680.3271604599</v>
      </c>
    </row>
    <row r="978" spans="2:2" x14ac:dyDescent="0.3">
      <c r="B978">
        <v>2159314.7027600398</v>
      </c>
    </row>
    <row r="979" spans="2:2" x14ac:dyDescent="0.3">
      <c r="B979">
        <v>-1636571.2077283701</v>
      </c>
    </row>
    <row r="980" spans="2:2" x14ac:dyDescent="0.3">
      <c r="B980">
        <v>2364542.7789056399</v>
      </c>
    </row>
    <row r="981" spans="2:2" x14ac:dyDescent="0.3">
      <c r="B981">
        <v>-1409938.8194607999</v>
      </c>
    </row>
    <row r="982" spans="2:2" x14ac:dyDescent="0.3">
      <c r="B982">
        <v>-2309389.6499564801</v>
      </c>
    </row>
    <row r="983" spans="2:2" x14ac:dyDescent="0.3">
      <c r="B983">
        <v>374652.07043209003</v>
      </c>
    </row>
    <row r="984" spans="2:2" x14ac:dyDescent="0.3">
      <c r="B984">
        <v>-2142533.6236243602</v>
      </c>
    </row>
    <row r="985" spans="2:2" x14ac:dyDescent="0.3">
      <c r="B985">
        <v>-1182677.65756403</v>
      </c>
    </row>
    <row r="986" spans="2:2" x14ac:dyDescent="0.3">
      <c r="B986">
        <v>1726719.47266879</v>
      </c>
    </row>
    <row r="987" spans="2:2" x14ac:dyDescent="0.3">
      <c r="B987">
        <v>1195136.86223251</v>
      </c>
    </row>
    <row r="988" spans="2:2" x14ac:dyDescent="0.3">
      <c r="B988">
        <v>-549358.22273393394</v>
      </c>
    </row>
    <row r="989" spans="2:2" x14ac:dyDescent="0.3">
      <c r="B989">
        <v>104238.199533798</v>
      </c>
    </row>
    <row r="990" spans="2:2" x14ac:dyDescent="0.3">
      <c r="B990">
        <v>171018.04280506101</v>
      </c>
    </row>
    <row r="991" spans="2:2" x14ac:dyDescent="0.3">
      <c r="B991">
        <v>307124.88024007698</v>
      </c>
    </row>
    <row r="992" spans="2:2" x14ac:dyDescent="0.3">
      <c r="B992">
        <v>-1224766.7505437799</v>
      </c>
    </row>
    <row r="993" spans="2:2" x14ac:dyDescent="0.3">
      <c r="B993">
        <v>666653.21639464202</v>
      </c>
    </row>
    <row r="994" spans="2:2" x14ac:dyDescent="0.3">
      <c r="B994">
        <v>1240562.3405372601</v>
      </c>
    </row>
    <row r="995" spans="2:2" x14ac:dyDescent="0.3">
      <c r="B995">
        <v>-2818344.56322406</v>
      </c>
    </row>
    <row r="996" spans="2:2" x14ac:dyDescent="0.3">
      <c r="B996">
        <v>474106.32303127798</v>
      </c>
    </row>
    <row r="997" spans="2:2" x14ac:dyDescent="0.3">
      <c r="B997">
        <v>166495.697621295</v>
      </c>
    </row>
    <row r="998" spans="2:2" x14ac:dyDescent="0.3">
      <c r="B998">
        <v>-840627.89861678996</v>
      </c>
    </row>
    <row r="999" spans="2:2" x14ac:dyDescent="0.3">
      <c r="B999">
        <v>-2328132.6396281701</v>
      </c>
    </row>
    <row r="1000" spans="2:2" x14ac:dyDescent="0.3">
      <c r="B1000">
        <v>1172812.69144303</v>
      </c>
    </row>
    <row r="1001" spans="2:2" x14ac:dyDescent="0.3">
      <c r="B1001">
        <v>-2799386.1249263799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3C9F-F412-4FFE-AA68-BE6E3ADC2DF1}">
  <dimension ref="A1:I12"/>
  <sheetViews>
    <sheetView topLeftCell="G1" workbookViewId="0">
      <selection activeCell="D21" sqref="D21"/>
    </sheetView>
  </sheetViews>
  <sheetFormatPr defaultRowHeight="14.4" x14ac:dyDescent="0.3"/>
  <cols>
    <col min="1" max="1" width="10.109375" bestFit="1" customWidth="1"/>
    <col min="2" max="2" width="11.21875" bestFit="1" customWidth="1"/>
    <col min="3" max="3" width="9" bestFit="1" customWidth="1"/>
    <col min="4" max="4" width="12.77734375" bestFit="1" customWidth="1"/>
  </cols>
  <sheetData>
    <row r="1" spans="1:9" x14ac:dyDescent="0.3">
      <c r="A1" t="s">
        <v>332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H1" t="s">
        <v>320</v>
      </c>
      <c r="I1" t="s">
        <v>321</v>
      </c>
    </row>
    <row r="2" spans="1:9" x14ac:dyDescent="0.3">
      <c r="A2" t="s">
        <v>333</v>
      </c>
      <c r="B2">
        <v>0.25</v>
      </c>
      <c r="C2">
        <v>6.8724999999999994E-2</v>
      </c>
      <c r="D2">
        <v>6.9771324459317899E-2</v>
      </c>
      <c r="E2">
        <f>C2-D2</f>
        <v>-1.0463244593179044E-3</v>
      </c>
      <c r="F2">
        <f>ABS(E2)</f>
        <v>1.0463244593179044E-3</v>
      </c>
      <c r="H2" t="s">
        <v>349</v>
      </c>
      <c r="I2" cm="1">
        <f t="array" ref="I2">SQRT(AVERAGE(E2:E12^2))</f>
        <v>8.2863771445273191E-4</v>
      </c>
    </row>
    <row r="3" spans="1:9" x14ac:dyDescent="0.3">
      <c r="A3" t="s">
        <v>334</v>
      </c>
      <c r="B3">
        <v>0.5</v>
      </c>
      <c r="C3">
        <v>7.0997000000000005E-2</v>
      </c>
      <c r="D3">
        <v>6.9762071108344495E-2</v>
      </c>
      <c r="E3">
        <f t="shared" ref="E3:E12" si="0">C3-D3</f>
        <v>1.2349288916555096E-3</v>
      </c>
      <c r="F3">
        <f t="shared" ref="F3:F12" si="1">ABS(E3)</f>
        <v>1.2349288916555096E-3</v>
      </c>
      <c r="H3" t="s">
        <v>350</v>
      </c>
      <c r="I3">
        <f>RSQ(C2:C12,D2:D12)</f>
        <v>0.94819098547950698</v>
      </c>
    </row>
    <row r="4" spans="1:9" x14ac:dyDescent="0.3">
      <c r="A4" t="s">
        <v>335</v>
      </c>
      <c r="B4">
        <v>1</v>
      </c>
      <c r="C4">
        <v>7.0232000000000003E-2</v>
      </c>
      <c r="D4">
        <v>6.9947522819586105E-2</v>
      </c>
      <c r="E4">
        <f t="shared" si="0"/>
        <v>2.8447718041389736E-4</v>
      </c>
      <c r="F4">
        <f t="shared" si="1"/>
        <v>2.8447718041389736E-4</v>
      </c>
      <c r="H4" t="s">
        <v>351</v>
      </c>
    </row>
    <row r="5" spans="1:9" x14ac:dyDescent="0.3">
      <c r="A5" t="s">
        <v>336</v>
      </c>
      <c r="B5">
        <v>2</v>
      </c>
      <c r="C5">
        <v>7.0440000000000003E-2</v>
      </c>
      <c r="D5">
        <v>7.0784746087934794E-2</v>
      </c>
      <c r="E5">
        <f t="shared" si="0"/>
        <v>-3.4474608793479133E-4</v>
      </c>
      <c r="F5">
        <f t="shared" si="1"/>
        <v>3.4474608793479133E-4</v>
      </c>
    </row>
    <row r="6" spans="1:9" x14ac:dyDescent="0.3">
      <c r="A6" t="s">
        <v>337</v>
      </c>
      <c r="B6">
        <v>3</v>
      </c>
      <c r="C6">
        <v>7.1348999999999996E-2</v>
      </c>
      <c r="D6">
        <v>7.1841803026756204E-2</v>
      </c>
      <c r="E6">
        <f t="shared" si="0"/>
        <v>-4.9280302675620835E-4</v>
      </c>
      <c r="F6">
        <f t="shared" si="1"/>
        <v>4.9280302675620835E-4</v>
      </c>
    </row>
    <row r="7" spans="1:9" x14ac:dyDescent="0.3">
      <c r="A7" t="s">
        <v>338</v>
      </c>
      <c r="B7">
        <v>5</v>
      </c>
      <c r="C7">
        <v>7.4343999999999993E-2</v>
      </c>
      <c r="D7">
        <v>7.3807885610361501E-2</v>
      </c>
      <c r="E7">
        <f t="shared" si="0"/>
        <v>5.3611438963849234E-4</v>
      </c>
      <c r="F7">
        <f t="shared" si="1"/>
        <v>5.3611438963849234E-4</v>
      </c>
    </row>
    <row r="8" spans="1:9" x14ac:dyDescent="0.3">
      <c r="A8" t="s">
        <v>339</v>
      </c>
      <c r="B8">
        <v>7</v>
      </c>
      <c r="C8">
        <v>7.4371000000000007E-2</v>
      </c>
      <c r="D8">
        <v>7.5268724356901295E-2</v>
      </c>
      <c r="E8">
        <f t="shared" si="0"/>
        <v>-8.9772435690128882E-4</v>
      </c>
      <c r="F8">
        <f t="shared" si="1"/>
        <v>8.9772435690128882E-4</v>
      </c>
    </row>
    <row r="9" spans="1:9" x14ac:dyDescent="0.3">
      <c r="A9" t="s">
        <v>340</v>
      </c>
      <c r="B9">
        <v>10</v>
      </c>
      <c r="C9">
        <v>7.7302999999999997E-2</v>
      </c>
      <c r="D9">
        <v>7.6673966138340294E-2</v>
      </c>
      <c r="E9">
        <f t="shared" si="0"/>
        <v>6.2903386165970299E-4</v>
      </c>
      <c r="F9">
        <f t="shared" si="1"/>
        <v>6.2903386165970299E-4</v>
      </c>
    </row>
    <row r="10" spans="1:9" x14ac:dyDescent="0.3">
      <c r="A10" t="s">
        <v>341</v>
      </c>
      <c r="B10">
        <v>15</v>
      </c>
      <c r="C10">
        <v>7.8297000000000005E-2</v>
      </c>
      <c r="D10">
        <v>7.7896997913547497E-2</v>
      </c>
      <c r="E10">
        <f t="shared" si="0"/>
        <v>4.0000208645250834E-4</v>
      </c>
      <c r="F10">
        <f t="shared" si="1"/>
        <v>4.0000208645250834E-4</v>
      </c>
    </row>
    <row r="11" spans="1:9" x14ac:dyDescent="0.3">
      <c r="A11" t="s">
        <v>342</v>
      </c>
      <c r="B11">
        <v>20</v>
      </c>
      <c r="C11">
        <v>7.9555000000000001E-2</v>
      </c>
      <c r="D11">
        <v>7.8524184048063203E-2</v>
      </c>
      <c r="E11">
        <f t="shared" si="0"/>
        <v>1.0308159519367976E-3</v>
      </c>
      <c r="F11">
        <f t="shared" si="1"/>
        <v>1.0308159519367976E-3</v>
      </c>
    </row>
    <row r="12" spans="1:9" x14ac:dyDescent="0.3">
      <c r="A12" t="s">
        <v>343</v>
      </c>
      <c r="B12">
        <v>30</v>
      </c>
      <c r="C12">
        <v>7.7818999999999999E-2</v>
      </c>
      <c r="D12">
        <v>7.9152782002065297E-2</v>
      </c>
      <c r="E12">
        <f t="shared" si="0"/>
        <v>-1.333782002065298E-3</v>
      </c>
      <c r="F12">
        <f t="shared" si="1"/>
        <v>1.333782002065298E-3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B116-CB32-48B5-B2A8-20041D42F5CA}">
  <dimension ref="A1:B7"/>
  <sheetViews>
    <sheetView tabSelected="1" workbookViewId="0">
      <selection activeCell="D4" sqref="D4"/>
    </sheetView>
  </sheetViews>
  <sheetFormatPr defaultRowHeight="14.4" x14ac:dyDescent="0.3"/>
  <cols>
    <col min="1" max="1" width="23.88671875" bestFit="1" customWidth="1"/>
    <col min="2" max="2" width="12" bestFit="1" customWidth="1"/>
    <col min="4" max="4" width="11.44140625" bestFit="1" customWidth="1"/>
    <col min="5" max="5" width="13.44140625" bestFit="1" customWidth="1"/>
  </cols>
  <sheetData>
    <row r="1" spans="1:2" x14ac:dyDescent="0.3">
      <c r="A1" t="s">
        <v>352</v>
      </c>
      <c r="B1" t="s">
        <v>321</v>
      </c>
    </row>
    <row r="2" spans="1:2" x14ac:dyDescent="0.3">
      <c r="A2" t="s">
        <v>314</v>
      </c>
      <c r="B2">
        <v>32059345.969999999</v>
      </c>
    </row>
    <row r="3" spans="1:2" x14ac:dyDescent="0.3">
      <c r="A3" t="s">
        <v>353</v>
      </c>
      <c r="B3">
        <v>4.2031276589999997</v>
      </c>
    </row>
    <row r="4" spans="1:2" x14ac:dyDescent="0.3">
      <c r="A4" t="s">
        <v>316</v>
      </c>
      <c r="B4">
        <v>44.061199170000002</v>
      </c>
    </row>
    <row r="5" spans="1:2" x14ac:dyDescent="0.3">
      <c r="A5" t="s">
        <v>317</v>
      </c>
      <c r="B5">
        <v>8948.2484999999997</v>
      </c>
    </row>
    <row r="6" spans="1:2" x14ac:dyDescent="0.3">
      <c r="A6" t="s">
        <v>354</v>
      </c>
      <c r="B6">
        <v>1</v>
      </c>
    </row>
    <row r="7" spans="1:2" x14ac:dyDescent="0.3">
      <c r="A7" t="s">
        <v>355</v>
      </c>
      <c r="B7">
        <v>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8639-39AD-4126-B94A-C1C006E9283E}">
  <dimension ref="A3:B12"/>
  <sheetViews>
    <sheetView workbookViewId="0">
      <selection activeCell="B6" sqref="B6"/>
    </sheetView>
  </sheetViews>
  <sheetFormatPr defaultRowHeight="14.4" x14ac:dyDescent="0.3"/>
  <cols>
    <col min="1" max="1" width="14.88671875" bestFit="1" customWidth="1"/>
    <col min="2" max="2" width="22.6640625" bestFit="1" customWidth="1"/>
  </cols>
  <sheetData>
    <row r="3" spans="1:2" x14ac:dyDescent="0.3">
      <c r="A3" s="2" t="s">
        <v>356</v>
      </c>
      <c r="B3" t="s">
        <v>358</v>
      </c>
    </row>
    <row r="4" spans="1:2" x14ac:dyDescent="0.3">
      <c r="A4" s="3" t="s">
        <v>359</v>
      </c>
      <c r="B4">
        <v>21259033.489999998</v>
      </c>
    </row>
    <row r="5" spans="1:2" x14ac:dyDescent="0.3">
      <c r="A5" s="3" t="s">
        <v>360</v>
      </c>
      <c r="B5">
        <v>4526911.05</v>
      </c>
    </row>
    <row r="6" spans="1:2" x14ac:dyDescent="0.3">
      <c r="A6" s="3" t="s">
        <v>361</v>
      </c>
      <c r="B6">
        <v>2348389.4700000002</v>
      </c>
    </row>
    <row r="7" spans="1:2" x14ac:dyDescent="0.3">
      <c r="A7" s="3" t="s">
        <v>362</v>
      </c>
      <c r="B7">
        <v>2127364.33</v>
      </c>
    </row>
    <row r="8" spans="1:2" x14ac:dyDescent="0.3">
      <c r="A8" s="3" t="s">
        <v>363</v>
      </c>
      <c r="B8">
        <v>917198.05</v>
      </c>
    </row>
    <row r="9" spans="1:2" x14ac:dyDescent="0.3">
      <c r="A9" s="3" t="s">
        <v>364</v>
      </c>
      <c r="B9">
        <v>607778.03999999992</v>
      </c>
    </row>
    <row r="10" spans="1:2" x14ac:dyDescent="0.3">
      <c r="A10" s="3" t="s">
        <v>365</v>
      </c>
      <c r="B10">
        <v>97456.739999999991</v>
      </c>
    </row>
    <row r="11" spans="1:2" x14ac:dyDescent="0.3">
      <c r="A11" s="3" t="s">
        <v>366</v>
      </c>
      <c r="B11">
        <v>175214.8</v>
      </c>
    </row>
    <row r="12" spans="1:2" x14ac:dyDescent="0.3">
      <c r="A12" s="3" t="s">
        <v>357</v>
      </c>
      <c r="B12">
        <v>32059345.969999995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Bond Pricing</vt:lpstr>
      <vt:lpstr>Duration Convexity</vt:lpstr>
      <vt:lpstr>VaR Validation</vt:lpstr>
      <vt:lpstr>Nelson-Siegal Validation</vt:lpstr>
      <vt:lpstr>Portfolio Aggregation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kishlay nath</dc:creator>
  <cp:lastModifiedBy>kishlay nath</cp:lastModifiedBy>
  <dcterms:created xsi:type="dcterms:W3CDTF">2026-09-29T21:04:34Z</dcterms:created>
  <dcterms:modified xsi:type="dcterms:W3CDTF">2026-10-01T00:06:46Z</dcterms:modified>
</cp:coreProperties>
</file>